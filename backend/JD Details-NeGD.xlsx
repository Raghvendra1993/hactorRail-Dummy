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AA72F2F6-96C3-4599-92FA-C58F212D8E6A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ResourceComposition" sheetId="2" r:id="rId2"/>
    <sheet name="Commercial - Tarun" sheetId="5" r:id="rId3"/>
    <sheet name="Commercial" sheetId="3" r:id="rId4"/>
    <sheet name="Trigyn Rates 2023" sheetId="4" r:id="rId5"/>
    <sheet name="Sheet2" sheetId="6" r:id="rId6"/>
  </sheets>
  <definedNames>
    <definedName name="_xlnm._FilterDatabase" localSheetId="1" hidden="1">ResourceComposition!$A$1:$I$64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2" i="6"/>
  <c r="G3" i="5"/>
  <c r="G4" i="5"/>
  <c r="G5" i="5"/>
  <c r="G6" i="5"/>
  <c r="G7" i="5"/>
  <c r="G8" i="5"/>
  <c r="G11" i="5"/>
  <c r="G12" i="5"/>
  <c r="G13" i="5"/>
  <c r="G14" i="5"/>
  <c r="G15" i="5"/>
  <c r="H3" i="5"/>
  <c r="I3" i="5"/>
  <c r="J3" i="5"/>
  <c r="K3" i="5"/>
  <c r="L3" i="5"/>
  <c r="N3" i="5"/>
  <c r="O3" i="5"/>
  <c r="F4" i="5"/>
  <c r="H4" i="5"/>
  <c r="N4" i="5"/>
  <c r="O4" i="5"/>
  <c r="H5" i="5"/>
  <c r="I5" i="5"/>
  <c r="J5" i="5"/>
  <c r="K5" i="5"/>
  <c r="L5" i="5"/>
  <c r="N5" i="5"/>
  <c r="O5" i="5"/>
  <c r="H6" i="5"/>
  <c r="I6" i="5"/>
  <c r="J6" i="5"/>
  <c r="K6" i="5"/>
  <c r="L6" i="5"/>
  <c r="N6" i="5"/>
  <c r="O6" i="5"/>
  <c r="H7" i="5"/>
  <c r="I7" i="5"/>
  <c r="J7" i="5"/>
  <c r="K7" i="5"/>
  <c r="L7" i="5"/>
  <c r="N7" i="5"/>
  <c r="O7" i="5"/>
  <c r="H8" i="5"/>
  <c r="I8" i="5"/>
  <c r="J8" i="5"/>
  <c r="K8" i="5"/>
  <c r="L8" i="5"/>
  <c r="N8" i="5"/>
  <c r="O8" i="5"/>
  <c r="H9" i="5"/>
  <c r="I9" i="5"/>
  <c r="J9" i="5"/>
  <c r="K9" i="5"/>
  <c r="L9" i="5"/>
  <c r="N9" i="5"/>
  <c r="O9" i="5"/>
  <c r="H10" i="5"/>
  <c r="I10" i="5"/>
  <c r="J10" i="5"/>
  <c r="K10" i="5"/>
  <c r="L10" i="5"/>
  <c r="N10" i="5"/>
  <c r="O10" i="5"/>
  <c r="H11" i="5"/>
  <c r="I11" i="5"/>
  <c r="J11" i="5"/>
  <c r="K11" i="5"/>
  <c r="L11" i="5"/>
  <c r="N11" i="5"/>
  <c r="O11" i="5"/>
  <c r="F12" i="5"/>
  <c r="H12" i="5"/>
  <c r="I12" i="5"/>
  <c r="J12" i="5"/>
  <c r="K12" i="5"/>
  <c r="L12" i="5"/>
  <c r="N12" i="5"/>
  <c r="O12" i="5"/>
  <c r="F13" i="5"/>
  <c r="H13" i="5"/>
  <c r="I13" i="5"/>
  <c r="J13" i="5"/>
  <c r="K13" i="5"/>
  <c r="L13" i="5"/>
  <c r="N13" i="5"/>
  <c r="O13" i="5"/>
  <c r="F14" i="5"/>
  <c r="H14" i="5"/>
  <c r="I14" i="5"/>
  <c r="J14" i="5"/>
  <c r="K14" i="5"/>
  <c r="L14" i="5"/>
  <c r="N14" i="5"/>
  <c r="O14" i="5"/>
  <c r="H15" i="5"/>
  <c r="I15" i="5"/>
  <c r="J15" i="5"/>
  <c r="K15" i="5"/>
  <c r="L15" i="5"/>
  <c r="N15" i="5"/>
  <c r="O15" i="5"/>
  <c r="C16" i="5"/>
  <c r="E16" i="5"/>
  <c r="H16" i="5"/>
  <c r="I16" i="5"/>
  <c r="I19" i="5" s="1"/>
  <c r="J16" i="5"/>
  <c r="J19" i="5" s="1"/>
  <c r="N16" i="5"/>
  <c r="O16" i="5"/>
  <c r="F3" i="3"/>
  <c r="J19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E19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F4" i="3"/>
  <c r="F8" i="3"/>
  <c r="C17" i="4"/>
  <c r="G4" i="4"/>
  <c r="H4" i="4"/>
  <c r="I4" i="4" s="1"/>
  <c r="G5" i="4"/>
  <c r="H5" i="4"/>
  <c r="I5" i="4" s="1"/>
  <c r="G6" i="4"/>
  <c r="H6" i="4"/>
  <c r="I6" i="4" s="1"/>
  <c r="G7" i="4"/>
  <c r="H7" i="4"/>
  <c r="I7" i="4" s="1"/>
  <c r="G8" i="4"/>
  <c r="H8" i="4"/>
  <c r="I8" i="4" s="1"/>
  <c r="G9" i="4"/>
  <c r="H9" i="4"/>
  <c r="I9" i="4" s="1"/>
  <c r="G10" i="4"/>
  <c r="H10" i="4"/>
  <c r="I10" i="4" s="1"/>
  <c r="G11" i="4"/>
  <c r="H11" i="4"/>
  <c r="I11" i="4" s="1"/>
  <c r="G12" i="4"/>
  <c r="H12" i="4"/>
  <c r="I12" i="4" s="1"/>
  <c r="G13" i="4"/>
  <c r="H13" i="4"/>
  <c r="I13" i="4" s="1"/>
  <c r="G14" i="4"/>
  <c r="H14" i="4"/>
  <c r="I14" i="4" s="1"/>
  <c r="G15" i="4"/>
  <c r="H15" i="4"/>
  <c r="I15" i="4" s="1"/>
  <c r="G16" i="4"/>
  <c r="H16" i="4"/>
  <c r="I16" i="4" s="1"/>
  <c r="G3" i="4"/>
  <c r="H3" i="4" s="1"/>
  <c r="I3" i="4" s="1"/>
  <c r="F6" i="3"/>
  <c r="F5" i="3"/>
  <c r="F13" i="3"/>
  <c r="F14" i="3"/>
  <c r="M6" i="3"/>
  <c r="M4" i="3"/>
  <c r="G4" i="3"/>
  <c r="N4" i="3" s="1"/>
  <c r="F15" i="3"/>
  <c r="F11" i="3"/>
  <c r="G8" i="3"/>
  <c r="G10" i="3"/>
  <c r="G11" i="3"/>
  <c r="G15" i="3"/>
  <c r="G3" i="3"/>
  <c r="G5" i="3"/>
  <c r="N5" i="3" s="1"/>
  <c r="G6" i="3"/>
  <c r="N6" i="3" s="1"/>
  <c r="F7" i="3"/>
  <c r="G7" i="3" s="1"/>
  <c r="N7" i="3" s="1"/>
  <c r="G9" i="3"/>
  <c r="F12" i="3"/>
  <c r="G12" i="3" s="1"/>
  <c r="G13" i="3"/>
  <c r="G14" i="3"/>
  <c r="M15" i="3"/>
  <c r="M14" i="3"/>
  <c r="M13" i="3"/>
  <c r="M12" i="3"/>
  <c r="M11" i="3"/>
  <c r="M10" i="3"/>
  <c r="M9" i="3"/>
  <c r="M8" i="3"/>
  <c r="M7" i="3"/>
  <c r="M5" i="3"/>
  <c r="M3" i="3"/>
  <c r="M16" i="3" s="1"/>
  <c r="E16" i="3"/>
  <c r="C16" i="3"/>
  <c r="I15" i="3"/>
  <c r="H15" i="3"/>
  <c r="N15" i="3"/>
  <c r="I14" i="3"/>
  <c r="H14" i="3"/>
  <c r="N14" i="3"/>
  <c r="I13" i="3"/>
  <c r="H13" i="3"/>
  <c r="N13" i="3"/>
  <c r="I12" i="3"/>
  <c r="H12" i="3"/>
  <c r="N12" i="3"/>
  <c r="I11" i="3"/>
  <c r="H11" i="3"/>
  <c r="N11" i="3"/>
  <c r="I10" i="3"/>
  <c r="H10" i="3"/>
  <c r="N10" i="3"/>
  <c r="I9" i="3"/>
  <c r="H9" i="3"/>
  <c r="N9" i="3"/>
  <c r="I8" i="3"/>
  <c r="H8" i="3"/>
  <c r="N8" i="3"/>
  <c r="I7" i="3"/>
  <c r="H7" i="3"/>
  <c r="I6" i="3"/>
  <c r="H6" i="3"/>
  <c r="I5" i="3"/>
  <c r="H5" i="3"/>
  <c r="I3" i="3"/>
  <c r="I16" i="3" s="1"/>
  <c r="I19" i="3" s="1"/>
  <c r="H3" i="3"/>
  <c r="H16" i="3" s="1"/>
  <c r="H19" i="3" s="1"/>
  <c r="N3" i="3"/>
  <c r="N16" i="3" s="1"/>
  <c r="I21" i="5" l="1"/>
  <c r="J21" i="5"/>
  <c r="I20" i="5"/>
  <c r="J20" i="5"/>
  <c r="I22" i="5"/>
  <c r="J22" i="5"/>
  <c r="H22" i="3"/>
  <c r="I22" i="3"/>
  <c r="I21" i="3"/>
  <c r="H21" i="3"/>
  <c r="K14" i="3"/>
  <c r="J14" i="3"/>
  <c r="K13" i="3"/>
  <c r="J13" i="3"/>
  <c r="K12" i="3"/>
  <c r="J12" i="3"/>
  <c r="K9" i="3"/>
  <c r="J9" i="3"/>
  <c r="K7" i="3"/>
  <c r="J7" i="3"/>
  <c r="K6" i="3"/>
  <c r="J6" i="3"/>
  <c r="K5" i="3"/>
  <c r="J5" i="3"/>
  <c r="K3" i="3"/>
  <c r="J3" i="3"/>
  <c r="K15" i="3"/>
  <c r="J15" i="3"/>
  <c r="K11" i="3"/>
  <c r="J11" i="3"/>
  <c r="K10" i="3"/>
  <c r="J10" i="3"/>
  <c r="K8" i="3"/>
  <c r="J8" i="3"/>
  <c r="I20" i="3"/>
  <c r="H20" i="3"/>
  <c r="G16" i="3"/>
</calcChain>
</file>

<file path=xl/sharedStrings.xml><?xml version="1.0" encoding="utf-8"?>
<sst xmlns="http://schemas.openxmlformats.org/spreadsheetml/2006/main" count="397" uniqueCount="204">
  <si>
    <t>S.No</t>
  </si>
  <si>
    <t>Role</t>
  </si>
  <si>
    <t>Number</t>
  </si>
  <si>
    <t>Exp</t>
  </si>
  <si>
    <t>Should</t>
  </si>
  <si>
    <t>Must (Any)</t>
  </si>
  <si>
    <t>Could</t>
  </si>
  <si>
    <t>Certifications (Desirable)</t>
  </si>
  <si>
    <t>Candidates</t>
  </si>
  <si>
    <t>Remarks</t>
  </si>
  <si>
    <t>Tech Lead</t>
  </si>
  <si>
    <t>8 to 10</t>
  </si>
  <si>
    <t>SQL, NoSQL, AWS, Azure,
GCP, Docker, Kubernetes, Terraform, CloudFormation</t>
  </si>
  <si>
    <t>Java, Python, C#, JavaScript</t>
  </si>
  <si>
    <t>AWS, Azure, Scrum Master</t>
  </si>
  <si>
    <t>If any</t>
  </si>
  <si>
    <r>
      <rPr>
        <sz val="11"/>
        <color rgb="FF000000"/>
        <rFont val="Calibri"/>
        <scheme val="minor"/>
      </rPr>
      <t xml:space="preserve">Rajiv Shrivastava
</t>
    </r>
    <r>
      <rPr>
        <b/>
        <sz val="11"/>
        <color rgb="FF000000"/>
        <rFont val="Calibri"/>
        <scheme val="minor"/>
      </rPr>
      <t>Vishnu Bansal</t>
    </r>
  </si>
  <si>
    <t>Front End</t>
  </si>
  <si>
    <t>5 to 7</t>
  </si>
  <si>
    <t>HTML, CSS, JavaScript</t>
  </si>
  <si>
    <t>AngularJS</t>
  </si>
  <si>
    <t>Express, NestJS, PostgreSQL, NodeJS</t>
  </si>
  <si>
    <t>Node.js, database management, or frontend technologies</t>
  </si>
  <si>
    <r>
      <rPr>
        <sz val="11"/>
        <color rgb="FF000000"/>
        <rFont val="Calibri"/>
        <scheme val="minor"/>
      </rPr>
      <t xml:space="preserve">Harsh Malviya
</t>
    </r>
    <r>
      <rPr>
        <b/>
        <sz val="11"/>
        <color rgb="FF000000"/>
        <rFont val="Calibri"/>
        <scheme val="minor"/>
      </rPr>
      <t xml:space="preserve">Adarsh Godbole
</t>
    </r>
    <r>
      <rPr>
        <sz val="11"/>
        <color rgb="FF000000"/>
        <rFont val="Calibri"/>
        <scheme val="minor"/>
      </rPr>
      <t>Anand (TBH)
Raghvendra Roy
Saloni Chhaperwal
Nitish Kumar Mishra (TBH)
Ankit (TBH)
Kajal (TBH)
Pawan Singh
Vaishali Lalwani</t>
    </r>
  </si>
  <si>
    <t>Backend</t>
  </si>
  <si>
    <t>7 to 9</t>
  </si>
  <si>
    <t>Django, Flask, FastAPI</t>
  </si>
  <si>
    <t>Python, AWS, Azure, or Google Cloud</t>
  </si>
  <si>
    <t xml:space="preserve">SQL, NoSQL, </t>
  </si>
  <si>
    <t>Python development</t>
  </si>
  <si>
    <r>
      <rPr>
        <b/>
        <sz val="11"/>
        <color rgb="FF000000"/>
        <rFont val="Calibri"/>
        <scheme val="minor"/>
      </rPr>
      <t xml:space="preserve">Waibhav Krishna Chandra
</t>
    </r>
    <r>
      <rPr>
        <sz val="11"/>
        <color rgb="FF000000"/>
        <rFont val="Calibri"/>
        <scheme val="minor"/>
      </rPr>
      <t>Nitikesh (TBH)
Apoorva Nayak
Utkarsha Mishra
Dhreeraj Gujral
Ayush Sinha
Ambrish Ganguly
Abhilash Kumar
Furkan Shaikh
Appla Raju
Namitha R
Kriti Nagpal,
Aman Kumar Sharma</t>
    </r>
  </si>
  <si>
    <t>Devops</t>
  </si>
  <si>
    <t>*NIX (Linux / Unix) Command</t>
  </si>
  <si>
    <t>Terraform, Ansible, or CloudFormation</t>
  </si>
  <si>
    <t>Jenkins, GitLab CI/CD, or CircleCI, Prometheus, Grafana, ELK Stack</t>
  </si>
  <si>
    <t>AWS Certified DevOps Engineer, Certified Kubernetes Administrator (CKA), or
Docker Certified Associate</t>
  </si>
  <si>
    <r>
      <rPr>
        <b/>
        <sz val="11"/>
        <color rgb="FF000000"/>
        <rFont val="Calibri"/>
        <scheme val="minor"/>
      </rPr>
      <t xml:space="preserve">Shaariq Usmani
</t>
    </r>
    <r>
      <rPr>
        <sz val="11"/>
        <color rgb="FF000000"/>
        <rFont val="Calibri"/>
        <scheme val="minor"/>
      </rPr>
      <t>Satyam (TBH)
Ajay (TBH)
Vinay SV
Ramya Loganathan</t>
    </r>
  </si>
  <si>
    <t>DBA</t>
  </si>
  <si>
    <t>MongoDB Ops Manager, Nagios</t>
  </si>
  <si>
    <t>MongoDB</t>
  </si>
  <si>
    <t>Python or Bash</t>
  </si>
  <si>
    <t>MongoDB Certified DBA Associate</t>
  </si>
  <si>
    <t>Kundan Khatore (TBH),
Vishal Mahuli,
Prithvi Raj</t>
  </si>
  <si>
    <t>Full Stack Developer</t>
  </si>
  <si>
    <t xml:space="preserve"> Sql - MySQL and NoSql - MongoDB, JavaScript/ jQuery, HTML5/ CSS</t>
  </si>
  <si>
    <t>MongoDB, Express.js/ Nest.js, React.js, AngularJS and Node.js</t>
  </si>
  <si>
    <t>Karma/Mocha/Jest,Linux, Docker, Kubernetes</t>
  </si>
  <si>
    <r>
      <rPr>
        <b/>
        <sz val="11"/>
        <color rgb="FF000000"/>
        <rFont val="Calibri"/>
        <scheme val="minor"/>
      </rPr>
      <t xml:space="preserve">Ankit Thakur (TBH)
</t>
    </r>
    <r>
      <rPr>
        <sz val="11"/>
        <color rgb="FF000000"/>
        <rFont val="Calibri"/>
        <scheme val="minor"/>
      </rPr>
      <t>Shoaib Mohmad
Likhith Thammegowda
Veeresh R
Jesly Joseph
Keerthi</t>
    </r>
  </si>
  <si>
    <t>UI/UX Designer</t>
  </si>
  <si>
    <t>4 to 6</t>
  </si>
  <si>
    <t>HTML, CSS</t>
  </si>
  <si>
    <t xml:space="preserve"> Adobe XD, Sketch, Figma</t>
  </si>
  <si>
    <t>Rajeshwaran M,
Aarti (TBH),
Mansi (TBH),
Muhammed Muneer C,
Asif (TBH)</t>
  </si>
  <si>
    <t>QA</t>
  </si>
  <si>
    <t>3 to 5</t>
  </si>
  <si>
    <t>JIRA, Bugzilla</t>
  </si>
  <si>
    <t>test plans, test cases, and test scripts</t>
  </si>
  <si>
    <t>ISTQB Certified Tester or equivalent certifications</t>
  </si>
  <si>
    <t>Harsha
Ragul
Amlan
Megha Goyal</t>
  </si>
  <si>
    <t>Performance Tester</t>
  </si>
  <si>
    <t>performance, load, stress, endurance, and scalability tests</t>
  </si>
  <si>
    <t>JMeter, LoadRunner, NeoLoad, or Gatling</t>
  </si>
  <si>
    <t>Certified Performance Testing Professional (CPTP), ISTQB Advanced Test Analyst / Performance Testing Certification, LoadRunner or JMeter Certification, Cloud Performance Testing Certifications (AWS/Azure/GCP)</t>
  </si>
  <si>
    <t>Ritik Tripathi,
Hanumesh</t>
  </si>
  <si>
    <t>iOS</t>
  </si>
  <si>
    <t>UIKit, Core Data, Core Animation, Core Location</t>
  </si>
  <si>
    <t>Swift and Objective-C</t>
  </si>
  <si>
    <t>iOS UI/UX standards, Apple’s Human Interface Guidelines, and mobile accessibility standards</t>
  </si>
  <si>
    <t>Apple Certified iOS Developer, 
Swift Level 1/2 from Apple or third-party accredited bodies,
Certified Secure Software Lifecycle Professional (CSSLP),
Agile/Scrum Certification (CSM/PSM), Any cloud related</t>
  </si>
  <si>
    <t>Suyog D. (TBH),
Zeeshan Khundmiri</t>
  </si>
  <si>
    <t>Android</t>
  </si>
  <si>
    <t>Android SDK, Android Studio, Jetpack Components, and RESTful APIs, database management (SQLite/Room/Realm)</t>
  </si>
  <si>
    <t>Java for Android</t>
  </si>
  <si>
    <t>security standards, data encryption, and secure APIs, (Git), CI/CD pipelines, and Agile methodologies</t>
  </si>
  <si>
    <t xml:space="preserve">Google Associate Android Developer (AAD),
Certified Secure Software Lifecycle Professional (CSSLP),
Agile/Scrum Certification (CSM/PSM),
</t>
  </si>
  <si>
    <t>Tarun
Shubham J. (TBH)</t>
  </si>
  <si>
    <t>BA</t>
  </si>
  <si>
    <t>Business Requirement Documents (BRD), Functional Requirement
Specifications (FRS), Software Requirement Specifications (SRS), Use Cases, and User Stories</t>
  </si>
  <si>
    <t>Business Process Mapping &amp; Gap Analysis,
Documentation &amp; Solution Design Support</t>
  </si>
  <si>
    <t>Concept Notes, Detailed Project Reports (DPRs), RFPs, RFQs, and Technical Evaluation Criteria</t>
  </si>
  <si>
    <t>CBAP, CCBA, Agile (e.g., CSM), or Digital Transformation</t>
  </si>
  <si>
    <t>Karishma (TBH)
Akshayaa RV
Paulami Paul
Vaibhav Jain (TBH)</t>
  </si>
  <si>
    <t>S.No.</t>
  </si>
  <si>
    <t>Position</t>
  </si>
  <si>
    <t>Name of Resource</t>
  </si>
  <si>
    <t>Emp No</t>
  </si>
  <si>
    <t>Cost</t>
  </si>
  <si>
    <t>Qualifications</t>
  </si>
  <si>
    <t>Total Experience (in years)</t>
  </si>
  <si>
    <t>Number of
Years /
Months with
Bidder</t>
  </si>
  <si>
    <t xml:space="preserve">Area of Expertise
(Languages /
Platform etc)
</t>
  </si>
  <si>
    <t>Rajiv Shrivastava</t>
  </si>
  <si>
    <t>Vishnu Bansal</t>
  </si>
  <si>
    <t>Harsh Malviya (TBH)</t>
  </si>
  <si>
    <t>Adarsh Godbole</t>
  </si>
  <si>
    <t>Anand (TBH)</t>
  </si>
  <si>
    <t>Raghvendra Roy</t>
  </si>
  <si>
    <t>Saloni Chhaperwal</t>
  </si>
  <si>
    <t>Nitish Kumar Mishra (TBH)</t>
  </si>
  <si>
    <t>InC231</t>
  </si>
  <si>
    <t>Ankit(TBH)</t>
  </si>
  <si>
    <t>Kajal (TBH)</t>
  </si>
  <si>
    <t>Pawan Singh</t>
  </si>
  <si>
    <t>Vaishali Lalwani</t>
  </si>
  <si>
    <t>Waibhav Krishna Chandra</t>
  </si>
  <si>
    <t>Nitikesh (TBH)</t>
  </si>
  <si>
    <t>Apoorva Nayak</t>
  </si>
  <si>
    <t>Utkarsha Mishra</t>
  </si>
  <si>
    <t>Dhreeraj Gujral</t>
  </si>
  <si>
    <t>Ayush Sinha</t>
  </si>
  <si>
    <t>Ambrish Ganguly</t>
  </si>
  <si>
    <t>Abhilash Kumar</t>
  </si>
  <si>
    <t>Furkan Shaikh</t>
  </si>
  <si>
    <t>Appla Raju(TBH)</t>
  </si>
  <si>
    <t>Namitha R</t>
  </si>
  <si>
    <t>Aman Kumar Sharma</t>
  </si>
  <si>
    <t>Kriti Nagpal</t>
  </si>
  <si>
    <t>Zamir (TBH)</t>
  </si>
  <si>
    <t>Faizan (TBH)</t>
  </si>
  <si>
    <t>Jay (TBH)</t>
  </si>
  <si>
    <t>Shaariq Usmani</t>
  </si>
  <si>
    <t>Satyam(TBH)</t>
  </si>
  <si>
    <t>Ajay (TBH)</t>
  </si>
  <si>
    <t>Vinay SV</t>
  </si>
  <si>
    <t>Ramya Loganathan</t>
  </si>
  <si>
    <t>Kundan Khatore (TBH)</t>
  </si>
  <si>
    <t>Vishal Mahuli</t>
  </si>
  <si>
    <t>Prithvi Raj</t>
  </si>
  <si>
    <t>Yash Verma</t>
  </si>
  <si>
    <t>Ankit Thakur (TBH)</t>
  </si>
  <si>
    <t>Shoaib Mohmad</t>
  </si>
  <si>
    <t>Likhith Thammegowda</t>
  </si>
  <si>
    <t>Veeresh R</t>
  </si>
  <si>
    <t>Jesly Joseph</t>
  </si>
  <si>
    <t>Keerthi</t>
  </si>
  <si>
    <t>Naman Jagtap</t>
  </si>
  <si>
    <t>Rajeshwaran M</t>
  </si>
  <si>
    <t>Aarti (TBH)</t>
  </si>
  <si>
    <t>Mansi (TBH)</t>
  </si>
  <si>
    <t>Muhammed Muneer C</t>
  </si>
  <si>
    <t>Asif (TBH)</t>
  </si>
  <si>
    <t>Harsha</t>
  </si>
  <si>
    <t>Ragul</t>
  </si>
  <si>
    <t>Amlan</t>
  </si>
  <si>
    <t>Megha Goyal</t>
  </si>
  <si>
    <t>Ritik Tripathi</t>
  </si>
  <si>
    <t>Hanumesh</t>
  </si>
  <si>
    <t>Santhosh Kumar C S</t>
  </si>
  <si>
    <t>Suyog D. (TBH)</t>
  </si>
  <si>
    <t>Zeeshan Khundmiri</t>
  </si>
  <si>
    <t>Tarun</t>
  </si>
  <si>
    <t>Shubham J. (TBH)</t>
  </si>
  <si>
    <t>Karishma (TBH)</t>
  </si>
  <si>
    <t>Akshayaa RV</t>
  </si>
  <si>
    <t>Paulami Paul</t>
  </si>
  <si>
    <t>Vaibhav Jain (TBH)</t>
  </si>
  <si>
    <t>Abhinendra</t>
  </si>
  <si>
    <t>Sanika</t>
  </si>
  <si>
    <t>Bhumika</t>
  </si>
  <si>
    <t>Maaz</t>
  </si>
  <si>
    <t>Piyush Panchabhai</t>
  </si>
  <si>
    <t>Hike in Price</t>
  </si>
  <si>
    <t>Cost Hike Y2</t>
  </si>
  <si>
    <t>Monthly Price</t>
  </si>
  <si>
    <t>Yearly Cost</t>
  </si>
  <si>
    <t>Ashish/Mohit</t>
  </si>
  <si>
    <t>Monthly Cost</t>
  </si>
  <si>
    <t>Y1</t>
  </si>
  <si>
    <t>Y2</t>
  </si>
  <si>
    <t>AM0 (Y1)</t>
  </si>
  <si>
    <t>AM0 (Y2)</t>
  </si>
  <si>
    <t>Total Monthly Price</t>
  </si>
  <si>
    <t>Total Monthly Cost</t>
  </si>
  <si>
    <t>Scrum Master</t>
  </si>
  <si>
    <t>Blended Price</t>
  </si>
  <si>
    <t>Margin (AM0)</t>
  </si>
  <si>
    <t>Blended Cost</t>
  </si>
  <si>
    <t>Actual GM3</t>
  </si>
  <si>
    <t>Position Title</t>
  </si>
  <si>
    <t>Man Units</t>
  </si>
  <si>
    <t>M/s. Trigyn Technologies Pvt Ltd</t>
  </si>
  <si>
    <t>Per Man Month Cost</t>
  </si>
  <si>
    <t>Total Man Month Cost</t>
  </si>
  <si>
    <t>Team Lead Application</t>
  </si>
  <si>
    <t>Full stack Developer</t>
  </si>
  <si>
    <t>Developer - Front-end Web</t>
  </si>
  <si>
    <t>Developer - Back-end Web</t>
  </si>
  <si>
    <t>Developer - Mobile</t>
  </si>
  <si>
    <t>DevOps</t>
  </si>
  <si>
    <t>Solution Architect</t>
  </si>
  <si>
    <t>Business Analyst</t>
  </si>
  <si>
    <t>Graphic Designer</t>
  </si>
  <si>
    <t>Data Analyst - Dashboard and Reports</t>
  </si>
  <si>
    <t>Database Admin</t>
  </si>
  <si>
    <t>Content Manager</t>
  </si>
  <si>
    <t>Cloud Architect</t>
  </si>
  <si>
    <t>UX Designer</t>
  </si>
  <si>
    <t>All role were within 3-7 Years except Lead which was 10 yrs</t>
  </si>
  <si>
    <t>old</t>
  </si>
  <si>
    <t>new</t>
  </si>
  <si>
    <t>stat</t>
  </si>
  <si>
    <t>Harsh Malviya</t>
  </si>
  <si>
    <t>Ambrish Ganguly(TBH)</t>
  </si>
  <si>
    <t>Appla Raju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</si>
</sst>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39]#,##0"/>
    <numFmt numFmtId="165" formatCode="[$₹-439]#,##0.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b/>
      <sz val="10"/>
      <name val="Arial"/>
      <family val="2"/>
    </font>
    <font>
      <sz val="10"/>
      <name val="Arial"/>
      <family val="2"/>
    </font>
    <font>
      <b/>
      <sz val="11"/>
      <color rgb="FF000000"/>
      <name val="Calibri"/>
      <charset val="1"/>
    </font>
    <font>
      <sz val="11"/>
      <color theme="1"/>
      <name val="Calibri"/>
      <charset val="1"/>
    </font>
    <font>
      <sz val="11"/>
      <color rgb="FF0070C0"/>
      <name val="Calibri"/>
      <scheme val="minor"/>
    </font>
    <font>
      <sz val="11"/>
      <color rgb="FF00B0F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rgb="FFBDD7EE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1" fillId="3" borderId="1" xfId="0" applyNumberFormat="1" applyFont="1" applyFill="1" applyBorder="1"/>
    <xf numFmtId="9" fontId="1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1" fillId="3" borderId="1" xfId="0" applyFont="1" applyFill="1" applyBorder="1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6" fillId="0" borderId="0" xfId="0" applyFont="1"/>
    <xf numFmtId="164" fontId="1" fillId="3" borderId="4" xfId="0" applyNumberFormat="1" applyFont="1" applyFill="1" applyBorder="1"/>
    <xf numFmtId="10" fontId="1" fillId="3" borderId="1" xfId="0" applyNumberFormat="1" applyFont="1" applyFill="1" applyBorder="1"/>
    <xf numFmtId="164" fontId="0" fillId="0" borderId="2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4" xfId="0" applyBorder="1" applyAlignment="1">
      <alignment horizontal="left" vertical="top"/>
    </xf>
    <xf numFmtId="10" fontId="1" fillId="3" borderId="5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9" fontId="1" fillId="3" borderId="3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1" fillId="3" borderId="2" xfId="0" applyFont="1" applyFill="1" applyBorder="1"/>
    <xf numFmtId="10" fontId="1" fillId="3" borderId="4" xfId="0" applyNumberFormat="1" applyFont="1" applyFill="1" applyBorder="1"/>
    <xf numFmtId="0" fontId="5" fillId="0" borderId="1" xfId="0" applyFont="1" applyBorder="1" applyAlignment="1">
      <alignment horizontal="left" vertical="top"/>
    </xf>
    <xf numFmtId="0" fontId="7" fillId="6" borderId="12" xfId="0" applyFont="1" applyFill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12" xfId="0" applyFont="1" applyBorder="1" applyAlignment="1">
      <alignment wrapText="1"/>
    </xf>
    <xf numFmtId="164" fontId="0" fillId="5" borderId="1" xfId="0" applyNumberFormat="1" applyFill="1" applyBorder="1" applyAlignment="1">
      <alignment horizontal="center"/>
    </xf>
    <xf numFmtId="0" fontId="8" fillId="0" borderId="12" xfId="0" applyFont="1" applyBorder="1" applyAlignment="1">
      <alignment horizontal="center" wrapText="1"/>
    </xf>
    <xf numFmtId="165" fontId="8" fillId="0" borderId="12" xfId="0" applyNumberFormat="1" applyFont="1" applyBorder="1" applyAlignment="1">
      <alignment horizontal="center"/>
    </xf>
    <xf numFmtId="0" fontId="1" fillId="5" borderId="1" xfId="0" applyFont="1" applyFill="1" applyBorder="1"/>
    <xf numFmtId="0" fontId="8" fillId="0" borderId="13" xfId="0" applyFont="1" applyBorder="1" applyAlignment="1">
      <alignment horizontal="center" wrapText="1"/>
    </xf>
    <xf numFmtId="0" fontId="1" fillId="5" borderId="1" xfId="0" applyFont="1" applyFill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165" fontId="0" fillId="2" borderId="1" xfId="0" applyNumberFormat="1" applyFill="1" applyBorder="1"/>
    <xf numFmtId="165" fontId="8" fillId="0" borderId="2" xfId="0" applyNumberFormat="1" applyFont="1" applyBorder="1" applyAlignment="1">
      <alignment horizontal="center"/>
    </xf>
    <xf numFmtId="165" fontId="0" fillId="2" borderId="4" xfId="0" applyNumberFormat="1" applyFill="1" applyBorder="1"/>
    <xf numFmtId="165" fontId="1" fillId="2" borderId="1" xfId="0" applyNumberFormat="1" applyFont="1" applyFill="1" applyBorder="1"/>
    <xf numFmtId="164" fontId="0" fillId="7" borderId="1" xfId="0" applyNumberForma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0" fontId="1" fillId="3" borderId="4" xfId="0" applyNumberFormat="1" applyFont="1" applyFill="1" applyBorder="1" applyAlignment="1">
      <alignment horizontal="center"/>
    </xf>
    <xf numFmtId="10" fontId="1" fillId="3" borderId="1" xfId="0" applyNumberFormat="1" applyFont="1" applyFill="1" applyBorder="1" applyAlignment="1">
      <alignment horizontal="center"/>
    </xf>
    <xf numFmtId="0" fontId="0" fillId="0" borderId="4" xfId="0" applyBorder="1"/>
    <xf numFmtId="0" fontId="0" fillId="0" borderId="6" xfId="0" applyBorder="1" applyAlignment="1">
      <alignment horizontal="center" vertical="top"/>
    </xf>
    <xf numFmtId="0" fontId="6" fillId="0" borderId="1" xfId="0" applyFont="1" applyBorder="1"/>
    <xf numFmtId="0" fontId="0" fillId="0" borderId="5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0" borderId="14" xfId="0" applyFont="1" applyBorder="1" applyAlignment="1">
      <alignment readingOrder="1"/>
    </xf>
    <xf numFmtId="0" fontId="9" fillId="0" borderId="14" xfId="0" applyFont="1" applyBorder="1" applyAlignment="1">
      <alignment readingOrder="1"/>
    </xf>
    <xf numFmtId="0" fontId="10" fillId="0" borderId="14" xfId="0" applyFont="1" applyBorder="1" applyAlignment="1">
      <alignment readingOrder="1"/>
    </xf>
    <xf numFmtId="0" fontId="11" fillId="0" borderId="0" xfId="0" applyFont="1"/>
    <xf numFmtId="0" fontId="1" fillId="5" borderId="15" xfId="0" applyFont="1" applyFill="1" applyBorder="1" applyAlignment="1">
      <alignment horizontal="center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 wrapText="1"/>
    </xf>
    <xf numFmtId="0" fontId="6" fillId="3" borderId="1" xfId="0" applyFont="1" applyFill="1" applyBorder="1"/>
    <xf numFmtId="0" fontId="0" fillId="5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6" fillId="3" borderId="0" xfId="0" applyFont="1" applyFill="1"/>
    <xf numFmtId="0" fontId="12" fillId="3" borderId="1" xfId="0" applyFont="1" applyFill="1" applyBorder="1" applyAlignment="1">
      <alignment horizontal="left" vertical="top"/>
    </xf>
    <xf numFmtId="0" fontId="11" fillId="3" borderId="4" xfId="0" applyFont="1" applyFill="1" applyBorder="1" applyAlignment="1">
      <alignment horizontal="left" vertical="top"/>
    </xf>
    <xf numFmtId="0" fontId="0" fillId="3" borderId="1" xfId="0" applyFill="1" applyBorder="1" applyAlignment="1">
      <alignment wrapText="1"/>
    </xf>
    <xf numFmtId="0" fontId="2" fillId="3" borderId="1" xfId="0" applyFont="1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/>
    </xf>
    <xf numFmtId="0" fontId="0" fillId="3" borderId="1" xfId="0" applyFill="1" applyBorder="1"/>
    <xf numFmtId="0" fontId="0" fillId="3" borderId="4" xfId="0" applyFill="1" applyBorder="1"/>
    <xf numFmtId="0" fontId="0" fillId="5" borderId="4" xfId="0" applyFill="1" applyBorder="1" applyAlignment="1">
      <alignment horizontal="center" vertical="top"/>
    </xf>
    <xf numFmtId="0" fontId="0" fillId="5" borderId="6" xfId="0" applyFill="1" applyBorder="1" applyAlignment="1">
      <alignment horizontal="center" vertical="top"/>
    </xf>
    <xf numFmtId="0" fontId="0" fillId="5" borderId="5" xfId="0" applyFill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1" fillId="5" borderId="4" xfId="0" applyFont="1" applyFill="1" applyBorder="1" applyAlignment="1">
      <alignment horizontal="center" vertical="top"/>
    </xf>
    <xf numFmtId="0" fontId="1" fillId="5" borderId="6" xfId="0" applyFont="1" applyFill="1" applyBorder="1" applyAlignment="1">
      <alignment horizontal="center" vertical="top"/>
    </xf>
    <xf numFmtId="0" fontId="1" fillId="5" borderId="15" xfId="0" applyFont="1" applyFill="1" applyBorder="1" applyAlignment="1">
      <alignment horizontal="center" vertical="top"/>
    </xf>
    <xf numFmtId="0" fontId="1" fillId="5" borderId="5" xfId="0" applyFont="1" applyFill="1" applyBorder="1" applyAlignment="1">
      <alignment horizontal="center" vertical="top"/>
    </xf>
    <xf numFmtId="0" fontId="7" fillId="6" borderId="9" xfId="0" applyFont="1" applyFill="1" applyBorder="1" applyAlignment="1">
      <alignment wrapText="1"/>
    </xf>
    <xf numFmtId="0" fontId="7" fillId="6" borderId="10" xfId="0" applyFont="1" applyFill="1" applyBorder="1" applyAlignment="1">
      <alignment wrapText="1"/>
    </xf>
    <xf numFmtId="0" fontId="7" fillId="6" borderId="1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pane ySplit="1" topLeftCell="A8" activePane="bottomLeft" state="frozen"/>
      <selection pane="bottomLeft" activeCell="G4" sqref="G4"/>
    </sheetView>
  </sheetViews>
  <sheetFormatPr defaultRowHeight="15"/>
  <cols>
    <col min="1" max="1" width="5.140625" style="3" bestFit="1" customWidth="1"/>
    <col min="2" max="2" width="22.7109375" style="3" customWidth="1"/>
    <col min="3" max="3" width="8.42578125" style="3" bestFit="1" customWidth="1"/>
    <col min="4" max="4" width="9.140625" style="3"/>
    <col min="5" max="5" width="41.5703125" style="3" customWidth="1"/>
    <col min="6" max="6" width="25.42578125" style="3" bestFit="1" customWidth="1"/>
    <col min="7" max="7" width="19.85546875" style="3" customWidth="1"/>
    <col min="8" max="8" width="27.28515625" style="3" customWidth="1"/>
    <col min="9" max="9" width="24" style="14" bestFit="1" customWidth="1"/>
    <col min="10" max="10" width="27.42578125" style="3" customWidth="1"/>
    <col min="11" max="16384" width="9.140625" style="3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9.75" customHeight="1">
      <c r="A2" s="4">
        <v>1</v>
      </c>
      <c r="B2" s="5" t="s">
        <v>10</v>
      </c>
      <c r="C2" s="4">
        <v>1</v>
      </c>
      <c r="D2" s="4" t="s">
        <v>11</v>
      </c>
      <c r="E2" s="6" t="s">
        <v>12</v>
      </c>
      <c r="F2" s="6" t="s">
        <v>13</v>
      </c>
      <c r="G2" s="7" t="s">
        <v>14</v>
      </c>
      <c r="H2" s="7" t="s">
        <v>15</v>
      </c>
      <c r="I2" s="15" t="s">
        <v>16</v>
      </c>
      <c r="J2" s="4"/>
    </row>
    <row r="3" spans="1:10" ht="167.25">
      <c r="A3" s="4">
        <v>2</v>
      </c>
      <c r="B3" s="5" t="s">
        <v>17</v>
      </c>
      <c r="C3" s="4">
        <v>5</v>
      </c>
      <c r="D3" s="4" t="s">
        <v>18</v>
      </c>
      <c r="E3" s="6" t="s">
        <v>19</v>
      </c>
      <c r="F3" s="6" t="s">
        <v>20</v>
      </c>
      <c r="G3" s="7" t="s">
        <v>21</v>
      </c>
      <c r="H3" s="7" t="s">
        <v>22</v>
      </c>
      <c r="I3" s="16" t="s">
        <v>23</v>
      </c>
      <c r="J3" s="4"/>
    </row>
    <row r="4" spans="1:10" ht="213">
      <c r="A4" s="4">
        <v>3</v>
      </c>
      <c r="B4" s="5" t="s">
        <v>24</v>
      </c>
      <c r="C4" s="4">
        <v>8</v>
      </c>
      <c r="D4" s="4" t="s">
        <v>25</v>
      </c>
      <c r="E4" s="8" t="s">
        <v>26</v>
      </c>
      <c r="F4" s="6" t="s">
        <v>27</v>
      </c>
      <c r="G4" s="7" t="s">
        <v>28</v>
      </c>
      <c r="H4" s="7" t="s">
        <v>29</v>
      </c>
      <c r="I4" s="15" t="s">
        <v>30</v>
      </c>
      <c r="J4" s="4"/>
    </row>
    <row r="5" spans="1:10" ht="76.5">
      <c r="A5" s="4">
        <v>4</v>
      </c>
      <c r="B5" s="5" t="s">
        <v>31</v>
      </c>
      <c r="C5" s="4">
        <v>2</v>
      </c>
      <c r="D5" s="4" t="s">
        <v>18</v>
      </c>
      <c r="E5" s="6" t="s">
        <v>32</v>
      </c>
      <c r="F5" s="6" t="s">
        <v>33</v>
      </c>
      <c r="G5" s="7" t="s">
        <v>34</v>
      </c>
      <c r="H5" s="7" t="s">
        <v>35</v>
      </c>
      <c r="I5" s="15" t="s">
        <v>36</v>
      </c>
      <c r="J5" s="4"/>
    </row>
    <row r="6" spans="1:10" ht="45.75">
      <c r="A6" s="4">
        <v>5</v>
      </c>
      <c r="B6" s="4" t="s">
        <v>37</v>
      </c>
      <c r="C6" s="4">
        <v>2</v>
      </c>
      <c r="D6" s="4" t="s">
        <v>18</v>
      </c>
      <c r="E6" s="6" t="s">
        <v>38</v>
      </c>
      <c r="F6" s="6" t="s">
        <v>39</v>
      </c>
      <c r="G6" s="7" t="s">
        <v>40</v>
      </c>
      <c r="H6" s="7" t="s">
        <v>41</v>
      </c>
      <c r="I6" s="12" t="s">
        <v>42</v>
      </c>
      <c r="J6" s="4"/>
    </row>
    <row r="7" spans="1:10" ht="91.5">
      <c r="A7" s="4">
        <v>6</v>
      </c>
      <c r="B7" s="5" t="s">
        <v>43</v>
      </c>
      <c r="C7" s="4">
        <v>3</v>
      </c>
      <c r="D7" s="4">
        <v>4</v>
      </c>
      <c r="E7" s="6" t="s">
        <v>44</v>
      </c>
      <c r="F7" s="6" t="s">
        <v>45</v>
      </c>
      <c r="G7" s="7" t="s">
        <v>46</v>
      </c>
      <c r="H7" s="7" t="s">
        <v>15</v>
      </c>
      <c r="I7" s="15" t="s">
        <v>47</v>
      </c>
      <c r="J7" s="4"/>
    </row>
    <row r="8" spans="1:10" ht="76.5">
      <c r="A8" s="4">
        <v>7</v>
      </c>
      <c r="B8" s="4" t="s">
        <v>48</v>
      </c>
      <c r="C8" s="4">
        <v>2</v>
      </c>
      <c r="D8" s="4" t="s">
        <v>49</v>
      </c>
      <c r="E8" s="6" t="s">
        <v>50</v>
      </c>
      <c r="F8" s="6" t="s">
        <v>51</v>
      </c>
      <c r="G8" s="7"/>
      <c r="H8" s="7"/>
      <c r="I8" s="17" t="s">
        <v>52</v>
      </c>
      <c r="J8" s="4"/>
    </row>
    <row r="9" spans="1:10" ht="79.5" customHeight="1">
      <c r="A9" s="4">
        <v>8</v>
      </c>
      <c r="B9" s="4" t="s">
        <v>53</v>
      </c>
      <c r="C9" s="4">
        <v>2</v>
      </c>
      <c r="D9" s="4" t="s">
        <v>54</v>
      </c>
      <c r="E9" s="6" t="s">
        <v>55</v>
      </c>
      <c r="F9" s="6" t="s">
        <v>56</v>
      </c>
      <c r="G9" s="7"/>
      <c r="H9" s="7" t="s">
        <v>57</v>
      </c>
      <c r="I9" s="18" t="s">
        <v>58</v>
      </c>
      <c r="J9" s="4"/>
    </row>
    <row r="10" spans="1:10" ht="137.25">
      <c r="A10" s="4">
        <v>9</v>
      </c>
      <c r="B10" s="4" t="s">
        <v>59</v>
      </c>
      <c r="C10" s="4">
        <v>1</v>
      </c>
      <c r="D10" s="4">
        <v>5</v>
      </c>
      <c r="E10" s="6" t="s">
        <v>60</v>
      </c>
      <c r="F10" s="6" t="s">
        <v>61</v>
      </c>
      <c r="G10" s="7"/>
      <c r="H10" s="7" t="s">
        <v>62</v>
      </c>
      <c r="I10" s="17" t="s">
        <v>63</v>
      </c>
      <c r="J10" s="4"/>
    </row>
    <row r="11" spans="1:10" ht="106.5">
      <c r="A11" s="4">
        <v>10</v>
      </c>
      <c r="B11" s="4" t="s">
        <v>64</v>
      </c>
      <c r="C11" s="4">
        <v>1</v>
      </c>
      <c r="D11" s="4">
        <v>5</v>
      </c>
      <c r="E11" s="6" t="s">
        <v>65</v>
      </c>
      <c r="F11" s="6" t="s">
        <v>66</v>
      </c>
      <c r="G11" s="9" t="s">
        <v>67</v>
      </c>
      <c r="H11" s="7" t="s">
        <v>68</v>
      </c>
      <c r="I11" s="12" t="s">
        <v>69</v>
      </c>
      <c r="J11" s="4"/>
    </row>
    <row r="12" spans="1:10" ht="106.5">
      <c r="A12" s="4">
        <v>11</v>
      </c>
      <c r="B12" s="4" t="s">
        <v>70</v>
      </c>
      <c r="C12" s="4">
        <v>1</v>
      </c>
      <c r="D12" s="4">
        <v>5</v>
      </c>
      <c r="E12" s="6" t="s">
        <v>71</v>
      </c>
      <c r="F12" s="6" t="s">
        <v>72</v>
      </c>
      <c r="G12" s="7" t="s">
        <v>73</v>
      </c>
      <c r="H12" s="10" t="s">
        <v>74</v>
      </c>
      <c r="I12" s="13" t="s">
        <v>75</v>
      </c>
      <c r="J12" s="4"/>
    </row>
    <row r="13" spans="1:10" ht="76.5">
      <c r="A13" s="4">
        <v>12</v>
      </c>
      <c r="B13" s="4" t="s">
        <v>76</v>
      </c>
      <c r="C13" s="4">
        <v>2</v>
      </c>
      <c r="D13" s="4">
        <v>4</v>
      </c>
      <c r="E13" s="6" t="s">
        <v>77</v>
      </c>
      <c r="F13" s="6" t="s">
        <v>78</v>
      </c>
      <c r="G13" s="11" t="s">
        <v>79</v>
      </c>
      <c r="H13" s="7" t="s">
        <v>80</v>
      </c>
      <c r="I13" s="17" t="s">
        <v>81</v>
      </c>
      <c r="J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7BE1-B1D7-499D-9A8C-72A6C82956F6}">
  <dimension ref="A1:I70"/>
  <sheetViews>
    <sheetView tabSelected="1" topLeftCell="A17" workbookViewId="0">
      <selection activeCell="C29" sqref="C29"/>
    </sheetView>
  </sheetViews>
  <sheetFormatPr defaultRowHeight="15"/>
  <cols>
    <col min="1" max="1" width="5.7109375" bestFit="1" customWidth="1"/>
    <col min="2" max="2" width="19.85546875" customWidth="1"/>
    <col min="3" max="3" width="25.7109375" customWidth="1"/>
    <col min="4" max="4" width="7.5703125" customWidth="1"/>
    <col min="5" max="5" width="7.42578125" customWidth="1"/>
    <col min="6" max="6" width="13.28515625" bestFit="1" customWidth="1"/>
    <col min="7" max="7" width="10.42578125" customWidth="1"/>
    <col min="8" max="8" width="16.85546875" customWidth="1"/>
    <col min="9" max="9" width="18.28515625" customWidth="1"/>
  </cols>
  <sheetData>
    <row r="1" spans="1:9" ht="60.75">
      <c r="A1" s="20" t="s">
        <v>82</v>
      </c>
      <c r="B1" s="20" t="s">
        <v>83</v>
      </c>
      <c r="C1" s="20" t="s">
        <v>84</v>
      </c>
      <c r="D1" s="20" t="s">
        <v>85</v>
      </c>
      <c r="E1" s="20" t="s">
        <v>86</v>
      </c>
      <c r="F1" s="20" t="s">
        <v>87</v>
      </c>
      <c r="G1" s="21" t="s">
        <v>88</v>
      </c>
      <c r="H1" s="21" t="s">
        <v>89</v>
      </c>
      <c r="I1" s="21" t="s">
        <v>90</v>
      </c>
    </row>
    <row r="2" spans="1:9">
      <c r="A2" s="109">
        <v>1</v>
      </c>
      <c r="B2" s="112" t="s">
        <v>10</v>
      </c>
      <c r="C2" s="86" t="s">
        <v>91</v>
      </c>
      <c r="D2" s="22">
        <v>1711</v>
      </c>
      <c r="E2" s="22"/>
      <c r="F2" s="19"/>
      <c r="G2" s="19">
        <v>9</v>
      </c>
      <c r="H2" s="19"/>
      <c r="I2" s="19"/>
    </row>
    <row r="3" spans="1:9">
      <c r="A3" s="111"/>
      <c r="B3" s="115"/>
      <c r="C3" s="87" t="s">
        <v>92</v>
      </c>
      <c r="D3" s="33">
        <v>1317</v>
      </c>
      <c r="E3" s="33"/>
      <c r="F3" s="19"/>
      <c r="G3" s="19"/>
      <c r="H3" s="19"/>
      <c r="I3" s="19"/>
    </row>
    <row r="4" spans="1:9">
      <c r="A4" s="109">
        <v>2</v>
      </c>
      <c r="B4" s="112" t="s">
        <v>17</v>
      </c>
      <c r="C4" s="88" t="s">
        <v>93</v>
      </c>
      <c r="D4" s="23"/>
      <c r="E4" s="23"/>
      <c r="F4" s="19"/>
      <c r="G4" s="19">
        <v>6</v>
      </c>
      <c r="H4" s="19"/>
      <c r="I4" s="19"/>
    </row>
    <row r="5" spans="1:9">
      <c r="A5" s="110"/>
      <c r="B5" s="113"/>
      <c r="C5" s="87" t="s">
        <v>94</v>
      </c>
      <c r="D5" s="33">
        <v>1312</v>
      </c>
      <c r="E5" s="33"/>
      <c r="F5" s="19"/>
      <c r="G5" s="19"/>
      <c r="H5" s="19"/>
      <c r="I5" s="19"/>
    </row>
    <row r="6" spans="1:9">
      <c r="A6" s="110"/>
      <c r="B6" s="113"/>
      <c r="C6" s="89" t="s">
        <v>95</v>
      </c>
      <c r="D6" s="22"/>
      <c r="E6" s="22"/>
      <c r="F6" s="19"/>
      <c r="G6" s="19"/>
      <c r="H6" s="19"/>
      <c r="I6" s="19"/>
    </row>
    <row r="7" spans="1:9">
      <c r="A7" s="110"/>
      <c r="B7" s="113"/>
      <c r="C7" s="86" t="s">
        <v>96</v>
      </c>
      <c r="D7" s="22">
        <v>1710</v>
      </c>
      <c r="E7" s="22"/>
      <c r="F7" s="19"/>
      <c r="G7" s="19">
        <v>8</v>
      </c>
      <c r="H7" s="19"/>
      <c r="I7" s="19"/>
    </row>
    <row r="8" spans="1:9">
      <c r="A8" s="110"/>
      <c r="B8" s="113"/>
      <c r="C8" s="86" t="s">
        <v>97</v>
      </c>
      <c r="D8" s="22">
        <v>1712</v>
      </c>
      <c r="E8" s="22"/>
      <c r="F8" s="19"/>
      <c r="G8" s="19">
        <v>4</v>
      </c>
      <c r="H8" s="19"/>
      <c r="I8" s="19"/>
    </row>
    <row r="9" spans="1:9">
      <c r="A9" s="110"/>
      <c r="B9" s="113"/>
      <c r="C9" s="86" t="s">
        <v>98</v>
      </c>
      <c r="D9" s="22" t="s">
        <v>99</v>
      </c>
      <c r="E9" s="22"/>
      <c r="F9" s="19"/>
      <c r="G9" s="19">
        <v>9</v>
      </c>
      <c r="H9" s="19"/>
      <c r="I9" s="19"/>
    </row>
    <row r="10" spans="1:9">
      <c r="A10" s="110"/>
      <c r="B10" s="113"/>
      <c r="C10" s="89" t="s">
        <v>100</v>
      </c>
      <c r="D10" s="22"/>
      <c r="E10" s="22"/>
      <c r="F10" s="19"/>
      <c r="G10" s="19">
        <v>6</v>
      </c>
      <c r="H10" s="19"/>
      <c r="I10" s="19"/>
    </row>
    <row r="11" spans="1:9">
      <c r="A11" s="110"/>
      <c r="B11" s="113"/>
      <c r="C11" s="89" t="s">
        <v>101</v>
      </c>
      <c r="D11" s="22"/>
      <c r="E11" s="22"/>
      <c r="F11" s="19"/>
      <c r="G11" s="19">
        <v>6</v>
      </c>
      <c r="H11" s="19"/>
      <c r="I11" s="19"/>
    </row>
    <row r="12" spans="1:9">
      <c r="A12" s="110"/>
      <c r="B12" s="113"/>
      <c r="C12" s="86" t="s">
        <v>102</v>
      </c>
      <c r="D12" s="22">
        <v>1709</v>
      </c>
      <c r="E12" s="22"/>
      <c r="F12" s="19"/>
      <c r="G12" s="19">
        <v>2</v>
      </c>
      <c r="H12" s="19"/>
      <c r="I12" s="19"/>
    </row>
    <row r="13" spans="1:9">
      <c r="A13" s="111"/>
      <c r="B13" s="115"/>
      <c r="C13" s="86" t="s">
        <v>103</v>
      </c>
      <c r="D13" s="22">
        <v>1714</v>
      </c>
      <c r="E13" s="22"/>
      <c r="F13" s="19"/>
      <c r="G13" s="19">
        <v>4</v>
      </c>
      <c r="H13" s="19"/>
      <c r="I13" s="19"/>
    </row>
    <row r="14" spans="1:9">
      <c r="A14" s="109">
        <v>3</v>
      </c>
      <c r="B14" s="112" t="s">
        <v>24</v>
      </c>
      <c r="C14" s="101" t="s">
        <v>104</v>
      </c>
      <c r="D14" s="31">
        <v>512</v>
      </c>
      <c r="E14" s="31"/>
      <c r="F14" s="19"/>
      <c r="G14" s="19"/>
      <c r="H14" s="19"/>
      <c r="I14" s="19"/>
    </row>
    <row r="15" spans="1:9">
      <c r="A15" s="110"/>
      <c r="B15" s="113"/>
      <c r="C15" s="89" t="s">
        <v>105</v>
      </c>
      <c r="D15" s="23"/>
      <c r="E15" s="23"/>
      <c r="F15" s="19"/>
      <c r="G15" s="19"/>
      <c r="H15" s="19"/>
      <c r="I15" s="19"/>
    </row>
    <row r="16" spans="1:9">
      <c r="A16" s="110"/>
      <c r="B16" s="113"/>
      <c r="C16" s="88" t="s">
        <v>106</v>
      </c>
      <c r="D16" s="23">
        <v>1313</v>
      </c>
      <c r="E16" s="23"/>
      <c r="F16" s="19"/>
      <c r="G16" s="19"/>
      <c r="H16" s="19"/>
      <c r="I16" s="19"/>
    </row>
    <row r="17" spans="1:9">
      <c r="A17" s="110"/>
      <c r="B17" s="113"/>
      <c r="C17" s="88" t="s">
        <v>107</v>
      </c>
      <c r="D17" s="23">
        <v>1442</v>
      </c>
      <c r="E17" s="23"/>
      <c r="F17" s="19"/>
      <c r="G17" s="19"/>
      <c r="H17" s="19"/>
      <c r="I17" s="19"/>
    </row>
    <row r="18" spans="1:9">
      <c r="A18" s="110"/>
      <c r="B18" s="113"/>
      <c r="C18" s="88" t="s">
        <v>108</v>
      </c>
      <c r="D18" s="23">
        <v>724</v>
      </c>
      <c r="E18" s="23"/>
      <c r="F18" s="19"/>
      <c r="G18" s="19"/>
      <c r="H18" s="19"/>
      <c r="I18" s="19"/>
    </row>
    <row r="19" spans="1:9">
      <c r="A19" s="110"/>
      <c r="B19" s="113"/>
      <c r="C19" s="88" t="s">
        <v>109</v>
      </c>
      <c r="D19" s="23">
        <v>1418</v>
      </c>
      <c r="E19" s="23"/>
      <c r="F19" s="19"/>
      <c r="G19" s="19"/>
      <c r="H19" s="19"/>
      <c r="I19" s="19"/>
    </row>
    <row r="20" spans="1:9">
      <c r="A20" s="110"/>
      <c r="B20" s="113"/>
      <c r="C20" s="88" t="s">
        <v>110</v>
      </c>
      <c r="D20" s="23"/>
      <c r="E20" s="23"/>
      <c r="F20" s="19"/>
      <c r="G20" s="19"/>
      <c r="H20" s="19"/>
      <c r="I20" s="19"/>
    </row>
    <row r="21" spans="1:9">
      <c r="A21" s="110"/>
      <c r="B21" s="113"/>
      <c r="C21" s="88" t="s">
        <v>111</v>
      </c>
      <c r="D21" s="23">
        <v>1658</v>
      </c>
      <c r="E21" s="23"/>
      <c r="F21" s="19"/>
      <c r="G21" s="19"/>
      <c r="H21" s="19"/>
      <c r="I21" s="19"/>
    </row>
    <row r="22" spans="1:9">
      <c r="A22" s="110"/>
      <c r="B22" s="113"/>
      <c r="C22" s="88" t="s">
        <v>112</v>
      </c>
      <c r="D22" s="23">
        <v>1727</v>
      </c>
      <c r="E22" s="23"/>
      <c r="F22" s="19"/>
      <c r="G22" s="19">
        <v>6</v>
      </c>
      <c r="H22" s="19"/>
      <c r="I22" s="19"/>
    </row>
    <row r="23" spans="1:9">
      <c r="A23" s="110"/>
      <c r="B23" s="113"/>
      <c r="C23" s="88" t="s">
        <v>113</v>
      </c>
      <c r="D23" s="23"/>
      <c r="E23" s="23"/>
      <c r="F23" s="19"/>
      <c r="G23" s="19"/>
      <c r="H23" s="19"/>
      <c r="I23" s="19"/>
    </row>
    <row r="24" spans="1:9">
      <c r="A24" s="110"/>
      <c r="B24" s="113"/>
      <c r="C24" s="88" t="s">
        <v>114</v>
      </c>
      <c r="D24" s="23">
        <v>961</v>
      </c>
      <c r="E24" s="23"/>
      <c r="F24" s="19"/>
      <c r="G24" s="19"/>
      <c r="H24" s="19"/>
      <c r="I24" s="19"/>
    </row>
    <row r="25" spans="1:9">
      <c r="A25" s="110"/>
      <c r="B25" s="113"/>
      <c r="C25" s="88" t="s">
        <v>115</v>
      </c>
      <c r="D25" s="23">
        <v>361</v>
      </c>
      <c r="E25" s="31"/>
      <c r="F25" s="19"/>
      <c r="G25" s="19">
        <v>11.2</v>
      </c>
      <c r="H25" s="19"/>
      <c r="I25" s="19"/>
    </row>
    <row r="26" spans="1:9">
      <c r="A26" s="110"/>
      <c r="B26" s="113"/>
      <c r="C26" s="88" t="s">
        <v>116</v>
      </c>
      <c r="D26" s="23">
        <v>1739</v>
      </c>
      <c r="E26" s="31"/>
      <c r="F26" s="19"/>
      <c r="G26" s="19">
        <v>4</v>
      </c>
      <c r="H26" s="19"/>
      <c r="I26" s="19"/>
    </row>
    <row r="27" spans="1:9">
      <c r="A27" s="110"/>
      <c r="B27" s="113"/>
      <c r="C27" s="88" t="s">
        <v>117</v>
      </c>
      <c r="D27" s="23"/>
      <c r="E27" s="31"/>
      <c r="F27" s="19"/>
      <c r="G27" s="19"/>
      <c r="H27" s="19"/>
      <c r="I27" s="19"/>
    </row>
    <row r="28" spans="1:9">
      <c r="A28" s="110"/>
      <c r="B28" s="113"/>
      <c r="C28" s="88" t="s">
        <v>118</v>
      </c>
      <c r="D28" s="23"/>
      <c r="E28" s="31"/>
      <c r="F28" s="19"/>
      <c r="G28" s="19"/>
      <c r="H28" s="19"/>
      <c r="I28" s="19"/>
    </row>
    <row r="29" spans="1:9">
      <c r="A29" s="111"/>
      <c r="B29" s="115"/>
      <c r="C29" s="88" t="s">
        <v>119</v>
      </c>
      <c r="D29" s="23"/>
      <c r="E29" s="31"/>
      <c r="F29" s="19"/>
      <c r="G29" s="19"/>
      <c r="H29" s="19"/>
      <c r="I29" s="19"/>
    </row>
    <row r="30" spans="1:9">
      <c r="A30" s="109">
        <v>4</v>
      </c>
      <c r="B30" s="112" t="s">
        <v>31</v>
      </c>
      <c r="C30" s="90" t="s">
        <v>120</v>
      </c>
      <c r="D30" s="34">
        <v>1848</v>
      </c>
      <c r="E30" s="34"/>
      <c r="F30" s="19"/>
      <c r="G30" s="19"/>
      <c r="H30" s="19"/>
      <c r="I30" s="19"/>
    </row>
    <row r="31" spans="1:9">
      <c r="A31" s="110"/>
      <c r="B31" s="113"/>
      <c r="C31" s="92" t="s">
        <v>121</v>
      </c>
      <c r="D31" s="54"/>
      <c r="E31" s="54"/>
      <c r="F31" s="19"/>
      <c r="G31" s="19">
        <v>8</v>
      </c>
      <c r="H31" s="19"/>
      <c r="I31" s="19"/>
    </row>
    <row r="32" spans="1:9">
      <c r="A32" s="110"/>
      <c r="B32" s="113"/>
      <c r="C32" s="92" t="s">
        <v>122</v>
      </c>
      <c r="D32" s="54"/>
      <c r="E32" s="54"/>
      <c r="F32" s="19"/>
      <c r="G32" s="19">
        <v>8</v>
      </c>
      <c r="H32" s="19"/>
      <c r="I32" s="19"/>
    </row>
    <row r="33" spans="1:9">
      <c r="A33" s="110"/>
      <c r="B33" s="113"/>
      <c r="C33" s="91" t="s">
        <v>123</v>
      </c>
      <c r="D33" s="54">
        <v>1605</v>
      </c>
      <c r="E33" s="54"/>
      <c r="F33" s="19"/>
      <c r="G33" s="19"/>
      <c r="H33" s="19"/>
      <c r="I33" s="19"/>
    </row>
    <row r="34" spans="1:9">
      <c r="A34" s="111"/>
      <c r="B34" s="115"/>
      <c r="C34" s="88" t="s">
        <v>124</v>
      </c>
      <c r="D34" s="54">
        <v>1771</v>
      </c>
      <c r="E34" s="54"/>
      <c r="F34" s="19"/>
      <c r="G34" s="19"/>
      <c r="H34" s="19"/>
      <c r="I34" s="19"/>
    </row>
    <row r="35" spans="1:9">
      <c r="A35" s="109">
        <v>5</v>
      </c>
      <c r="B35" s="106" t="s">
        <v>37</v>
      </c>
      <c r="C35" s="86" t="s">
        <v>125</v>
      </c>
      <c r="D35" s="19"/>
      <c r="E35" s="19"/>
      <c r="F35" s="19"/>
      <c r="G35" s="19"/>
      <c r="H35" s="19"/>
      <c r="I35" s="19"/>
    </row>
    <row r="36" spans="1:9">
      <c r="A36" s="110"/>
      <c r="B36" s="107"/>
      <c r="C36" s="86" t="s">
        <v>126</v>
      </c>
      <c r="D36" s="19">
        <v>347</v>
      </c>
      <c r="E36" s="19"/>
      <c r="F36" s="19"/>
      <c r="G36" s="19">
        <v>10</v>
      </c>
      <c r="H36" s="19"/>
      <c r="I36" s="19"/>
    </row>
    <row r="37" spans="1:9">
      <c r="A37" s="110"/>
      <c r="B37" s="107"/>
      <c r="C37" s="86" t="s">
        <v>127</v>
      </c>
      <c r="D37" s="19">
        <v>1404</v>
      </c>
      <c r="E37" s="19"/>
      <c r="F37" s="19"/>
      <c r="G37" s="19">
        <v>5</v>
      </c>
      <c r="H37" s="19"/>
      <c r="I37" s="19"/>
    </row>
    <row r="38" spans="1:9">
      <c r="A38" s="111"/>
      <c r="B38" s="108"/>
      <c r="C38" s="86" t="s">
        <v>128</v>
      </c>
      <c r="D38" s="19">
        <v>1715</v>
      </c>
      <c r="E38" s="19"/>
      <c r="F38" s="19"/>
      <c r="G38" s="19"/>
      <c r="H38" s="19"/>
      <c r="I38" s="19"/>
    </row>
    <row r="39" spans="1:9">
      <c r="A39" s="109">
        <v>6</v>
      </c>
      <c r="B39" s="112" t="s">
        <v>43</v>
      </c>
      <c r="C39" s="87" t="s">
        <v>129</v>
      </c>
      <c r="D39" s="33"/>
      <c r="E39" s="33"/>
      <c r="F39" s="19"/>
      <c r="G39" s="19">
        <v>6</v>
      </c>
      <c r="H39" s="19"/>
      <c r="I39" s="19"/>
    </row>
    <row r="40" spans="1:9">
      <c r="A40" s="110"/>
      <c r="B40" s="113"/>
      <c r="C40" s="86" t="s">
        <v>130</v>
      </c>
      <c r="D40" s="22">
        <v>332</v>
      </c>
      <c r="E40" s="22"/>
      <c r="F40" s="19"/>
      <c r="G40" s="19"/>
      <c r="H40" s="19"/>
      <c r="I40" s="19"/>
    </row>
    <row r="41" spans="1:9">
      <c r="A41" s="110"/>
      <c r="B41" s="113"/>
      <c r="C41" s="86" t="s">
        <v>131</v>
      </c>
      <c r="D41" s="22">
        <v>592</v>
      </c>
      <c r="E41" s="22"/>
      <c r="F41" s="19"/>
      <c r="G41" s="19"/>
      <c r="H41" s="19"/>
      <c r="I41" s="19"/>
    </row>
    <row r="42" spans="1:9">
      <c r="A42" s="110"/>
      <c r="B42" s="113"/>
      <c r="C42" s="86" t="s">
        <v>132</v>
      </c>
      <c r="D42" s="22">
        <v>771</v>
      </c>
      <c r="E42" s="22"/>
      <c r="F42" s="19"/>
      <c r="G42" s="19"/>
      <c r="H42" s="19"/>
      <c r="I42" s="19"/>
    </row>
    <row r="43" spans="1:9">
      <c r="A43" s="110"/>
      <c r="B43" s="113"/>
      <c r="C43" s="93" t="s">
        <v>133</v>
      </c>
      <c r="D43" s="78">
        <v>1102</v>
      </c>
      <c r="E43" s="78"/>
      <c r="F43" s="42"/>
      <c r="G43" s="19"/>
      <c r="H43" s="19"/>
      <c r="I43" s="19"/>
    </row>
    <row r="44" spans="1:9">
      <c r="A44" s="110"/>
      <c r="B44" s="114"/>
      <c r="C44" s="94" t="s">
        <v>134</v>
      </c>
      <c r="D44" s="76">
        <v>891</v>
      </c>
      <c r="E44" s="76"/>
      <c r="F44" s="19"/>
      <c r="G44" s="84"/>
      <c r="H44" s="19"/>
      <c r="I44" s="19"/>
    </row>
    <row r="45" spans="1:9">
      <c r="A45" s="75"/>
      <c r="B45" s="83"/>
      <c r="C45" s="94" t="s">
        <v>135</v>
      </c>
      <c r="D45" s="76">
        <v>1708</v>
      </c>
      <c r="E45" s="76"/>
      <c r="F45" s="19"/>
      <c r="G45" s="84"/>
      <c r="H45" s="19"/>
      <c r="I45" s="19"/>
    </row>
    <row r="46" spans="1:9">
      <c r="A46" s="109">
        <v>7</v>
      </c>
      <c r="B46" s="106" t="s">
        <v>48</v>
      </c>
      <c r="C46" s="102" t="s">
        <v>136</v>
      </c>
      <c r="D46" s="77">
        <v>1252</v>
      </c>
      <c r="E46" s="77"/>
      <c r="F46" s="85"/>
      <c r="G46" s="19"/>
      <c r="H46" s="19"/>
      <c r="I46" s="19"/>
    </row>
    <row r="47" spans="1:9">
      <c r="A47" s="110"/>
      <c r="B47" s="107"/>
      <c r="C47" s="89" t="s">
        <v>137</v>
      </c>
      <c r="D47" s="22"/>
      <c r="E47" s="22"/>
      <c r="F47" s="19"/>
      <c r="G47" s="19"/>
      <c r="H47" s="19"/>
      <c r="I47" s="19"/>
    </row>
    <row r="48" spans="1:9">
      <c r="A48" s="110"/>
      <c r="B48" s="107"/>
      <c r="C48" s="89" t="s">
        <v>138</v>
      </c>
      <c r="D48" s="22"/>
      <c r="E48" s="22"/>
      <c r="F48" s="19"/>
      <c r="G48" s="19"/>
      <c r="H48" s="19"/>
      <c r="I48" s="19"/>
    </row>
    <row r="49" spans="1:9">
      <c r="A49" s="110"/>
      <c r="B49" s="107"/>
      <c r="C49" s="86" t="s">
        <v>139</v>
      </c>
      <c r="D49" s="22">
        <v>729</v>
      </c>
      <c r="E49" s="22"/>
      <c r="F49" s="19"/>
      <c r="G49" s="19"/>
      <c r="H49" s="19"/>
      <c r="I49" s="19"/>
    </row>
    <row r="50" spans="1:9">
      <c r="A50" s="111"/>
      <c r="B50" s="108"/>
      <c r="C50" s="95" t="s">
        <v>140</v>
      </c>
      <c r="D50" s="22"/>
      <c r="E50" s="22"/>
      <c r="F50" s="19"/>
      <c r="G50" s="19"/>
      <c r="H50" s="19"/>
      <c r="I50" s="19"/>
    </row>
    <row r="51" spans="1:9">
      <c r="A51" s="109">
        <v>8</v>
      </c>
      <c r="B51" s="106" t="s">
        <v>53</v>
      </c>
      <c r="C51" s="96" t="s">
        <v>141</v>
      </c>
      <c r="D51" s="19">
        <v>888</v>
      </c>
      <c r="E51" s="19"/>
      <c r="F51" s="19"/>
      <c r="G51" s="19"/>
      <c r="H51" s="19"/>
      <c r="I51" s="19"/>
    </row>
    <row r="52" spans="1:9">
      <c r="A52" s="110"/>
      <c r="B52" s="107"/>
      <c r="C52" s="96" t="s">
        <v>142</v>
      </c>
      <c r="D52" s="19">
        <v>1164</v>
      </c>
      <c r="E52" s="19"/>
      <c r="F52" s="19"/>
      <c r="G52" s="19"/>
      <c r="H52" s="19"/>
      <c r="I52" s="19"/>
    </row>
    <row r="53" spans="1:9">
      <c r="A53" s="110"/>
      <c r="B53" s="107"/>
      <c r="C53" s="96" t="s">
        <v>143</v>
      </c>
      <c r="D53" s="42">
        <v>1471</v>
      </c>
      <c r="E53" s="19"/>
      <c r="F53" s="19"/>
      <c r="G53" s="19"/>
      <c r="H53" s="19"/>
      <c r="I53" s="19"/>
    </row>
    <row r="54" spans="1:9">
      <c r="A54" s="111"/>
      <c r="B54" s="108"/>
      <c r="C54" s="97" t="s">
        <v>144</v>
      </c>
      <c r="D54" s="76">
        <v>1707</v>
      </c>
      <c r="E54" s="35"/>
      <c r="F54" s="19"/>
      <c r="G54" s="19">
        <v>7</v>
      </c>
      <c r="H54" s="19"/>
      <c r="I54" s="19"/>
    </row>
    <row r="55" spans="1:9">
      <c r="A55" s="109">
        <v>9</v>
      </c>
      <c r="B55" s="106" t="s">
        <v>59</v>
      </c>
      <c r="C55" s="86" t="s">
        <v>145</v>
      </c>
      <c r="D55" s="77">
        <v>1673</v>
      </c>
      <c r="E55" s="22"/>
      <c r="F55" s="19"/>
      <c r="G55" s="19"/>
      <c r="H55" s="19"/>
      <c r="I55" s="19"/>
    </row>
    <row r="56" spans="1:9">
      <c r="A56" s="110"/>
      <c r="B56" s="107"/>
      <c r="C56" s="86" t="s">
        <v>146</v>
      </c>
      <c r="D56" s="22">
        <v>720</v>
      </c>
      <c r="E56" s="22"/>
      <c r="F56" s="19"/>
      <c r="G56" s="19"/>
      <c r="H56" s="19"/>
      <c r="I56" s="19"/>
    </row>
    <row r="57" spans="1:9">
      <c r="A57" s="111"/>
      <c r="B57" s="108"/>
      <c r="C57" s="86" t="s">
        <v>147</v>
      </c>
      <c r="D57" s="22">
        <v>606</v>
      </c>
      <c r="E57" s="22"/>
      <c r="F57" s="19"/>
      <c r="G57" s="19"/>
      <c r="H57" s="19"/>
      <c r="I57" s="19"/>
    </row>
    <row r="58" spans="1:9">
      <c r="A58" s="109">
        <v>10</v>
      </c>
      <c r="B58" s="106" t="s">
        <v>64</v>
      </c>
      <c r="C58" s="98" t="s">
        <v>148</v>
      </c>
      <c r="D58" s="19"/>
      <c r="E58" s="19"/>
      <c r="F58" s="19"/>
      <c r="G58" s="19">
        <v>8</v>
      </c>
      <c r="H58" s="19"/>
      <c r="I58" s="19"/>
    </row>
    <row r="59" spans="1:9">
      <c r="A59" s="111"/>
      <c r="B59" s="108"/>
      <c r="C59" s="103" t="s">
        <v>149</v>
      </c>
      <c r="D59" s="42">
        <v>595</v>
      </c>
      <c r="E59" s="42"/>
      <c r="F59" s="42"/>
      <c r="G59" s="42">
        <v>6.1</v>
      </c>
      <c r="H59" s="42"/>
      <c r="I59" s="42"/>
    </row>
    <row r="60" spans="1:9">
      <c r="A60" s="109">
        <v>11</v>
      </c>
      <c r="B60" s="106" t="s">
        <v>70</v>
      </c>
      <c r="C60" s="42" t="s">
        <v>150</v>
      </c>
      <c r="D60" s="42">
        <v>1805</v>
      </c>
      <c r="E60" s="42"/>
      <c r="F60" s="42"/>
      <c r="G60" s="42"/>
      <c r="H60" s="42"/>
      <c r="I60" s="42"/>
    </row>
    <row r="61" spans="1:9">
      <c r="A61" s="111"/>
      <c r="B61" s="108"/>
      <c r="C61" s="99" t="s">
        <v>151</v>
      </c>
      <c r="D61" s="42"/>
      <c r="E61" s="42"/>
      <c r="F61" s="42"/>
      <c r="G61" s="42">
        <v>6</v>
      </c>
      <c r="H61" s="42"/>
      <c r="I61" s="42"/>
    </row>
    <row r="62" spans="1:9">
      <c r="A62" s="109">
        <v>12</v>
      </c>
      <c r="B62" s="106" t="s">
        <v>76</v>
      </c>
      <c r="C62" s="89" t="s">
        <v>152</v>
      </c>
      <c r="D62" s="22"/>
      <c r="E62" s="22"/>
      <c r="F62" s="19"/>
      <c r="G62" s="19"/>
      <c r="H62" s="19"/>
      <c r="I62" s="19"/>
    </row>
    <row r="63" spans="1:9">
      <c r="A63" s="110"/>
      <c r="B63" s="107"/>
      <c r="C63" s="100" t="s">
        <v>153</v>
      </c>
      <c r="D63" s="40">
        <v>1776</v>
      </c>
      <c r="E63" s="40"/>
      <c r="F63" s="41"/>
      <c r="G63" s="41"/>
      <c r="H63" s="41"/>
      <c r="I63" s="41"/>
    </row>
    <row r="64" spans="1:9">
      <c r="A64" s="110"/>
      <c r="B64" s="107"/>
      <c r="C64" s="105" t="s">
        <v>154</v>
      </c>
      <c r="D64" s="74">
        <v>1790</v>
      </c>
      <c r="E64" s="74"/>
      <c r="F64" s="74"/>
      <c r="G64" s="74"/>
      <c r="H64" s="74"/>
      <c r="I64" s="74"/>
    </row>
    <row r="65" spans="1:9">
      <c r="A65" s="111"/>
      <c r="B65" s="108"/>
      <c r="C65" s="104" t="s">
        <v>155</v>
      </c>
      <c r="D65" s="41"/>
      <c r="E65" s="41"/>
      <c r="F65" s="41"/>
      <c r="G65" s="41">
        <v>11</v>
      </c>
      <c r="H65" s="41"/>
      <c r="I65" s="41"/>
    </row>
    <row r="66" spans="1:9">
      <c r="C66" s="82" t="s">
        <v>156</v>
      </c>
    </row>
    <row r="67" spans="1:9">
      <c r="C67" s="82" t="s">
        <v>157</v>
      </c>
    </row>
    <row r="68" spans="1:9">
      <c r="C68" s="82" t="s">
        <v>158</v>
      </c>
    </row>
    <row r="69" spans="1:9">
      <c r="C69" s="82" t="s">
        <v>159</v>
      </c>
    </row>
    <row r="70" spans="1:9">
      <c r="C70" s="82" t="s">
        <v>160</v>
      </c>
    </row>
  </sheetData>
  <autoFilter ref="A1:I64" xr:uid="{EE3B7BE1-B1D7-499D-9A8C-72A6C82956F6}"/>
  <mergeCells count="24">
    <mergeCell ref="B62:B65"/>
    <mergeCell ref="A62:A65"/>
    <mergeCell ref="A2:A3"/>
    <mergeCell ref="B2:B3"/>
    <mergeCell ref="B4:B13"/>
    <mergeCell ref="A4:A13"/>
    <mergeCell ref="B30:B34"/>
    <mergeCell ref="A30:A34"/>
    <mergeCell ref="B58:B59"/>
    <mergeCell ref="A58:A59"/>
    <mergeCell ref="B14:B29"/>
    <mergeCell ref="A14:A29"/>
    <mergeCell ref="B60:B61"/>
    <mergeCell ref="A60:A61"/>
    <mergeCell ref="B35:B38"/>
    <mergeCell ref="A35:A38"/>
    <mergeCell ref="B55:B57"/>
    <mergeCell ref="A55:A57"/>
    <mergeCell ref="B39:B44"/>
    <mergeCell ref="A39:A44"/>
    <mergeCell ref="B46:B50"/>
    <mergeCell ref="A46:A50"/>
    <mergeCell ref="B51:B54"/>
    <mergeCell ref="A51:A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E046F-5388-44B4-B85C-33E7238BA9EA}">
  <dimension ref="A1:O22"/>
  <sheetViews>
    <sheetView topLeftCell="B1" workbookViewId="0">
      <selection activeCell="R13" sqref="R13"/>
    </sheetView>
  </sheetViews>
  <sheetFormatPr defaultRowHeight="15"/>
  <cols>
    <col min="1" max="1" width="5.28515625" bestFit="1" customWidth="1"/>
    <col min="2" max="2" width="19.5703125" bestFit="1" customWidth="1"/>
    <col min="3" max="3" width="11.140625" customWidth="1"/>
    <col min="4" max="4" width="10.7109375" customWidth="1"/>
    <col min="5" max="7" width="15.85546875" customWidth="1"/>
    <col min="8" max="8" width="15.5703125" customWidth="1"/>
    <col min="9" max="9" width="14.42578125" customWidth="1"/>
    <col min="10" max="10" width="15.28515625" customWidth="1"/>
    <col min="11" max="11" width="15.140625" customWidth="1"/>
    <col min="12" max="12" width="13.5703125" customWidth="1"/>
    <col min="13" max="13" width="14.140625" customWidth="1"/>
    <col min="14" max="14" width="19" bestFit="1" customWidth="1"/>
    <col min="15" max="15" width="18.42578125" bestFit="1" customWidth="1"/>
    <col min="16" max="16" width="6.5703125" customWidth="1"/>
  </cols>
  <sheetData>
    <row r="1" spans="1:15">
      <c r="I1" s="44" t="s">
        <v>161</v>
      </c>
      <c r="J1" s="45">
        <v>0.1</v>
      </c>
      <c r="M1" s="44" t="s">
        <v>162</v>
      </c>
      <c r="N1" s="30">
        <v>0.08</v>
      </c>
    </row>
    <row r="2" spans="1:15">
      <c r="A2" s="1" t="s">
        <v>0</v>
      </c>
      <c r="B2" s="1" t="s">
        <v>1</v>
      </c>
      <c r="C2" s="1" t="s">
        <v>2</v>
      </c>
      <c r="D2" s="1" t="s">
        <v>3</v>
      </c>
      <c r="E2" s="26" t="s">
        <v>163</v>
      </c>
      <c r="F2" s="46" t="s">
        <v>164</v>
      </c>
      <c r="G2" s="46" t="s">
        <v>165</v>
      </c>
      <c r="H2" s="46" t="s">
        <v>166</v>
      </c>
      <c r="I2" s="1" t="s">
        <v>167</v>
      </c>
      <c r="J2" s="1" t="s">
        <v>168</v>
      </c>
      <c r="K2" s="47" t="s">
        <v>169</v>
      </c>
      <c r="L2" s="1" t="s">
        <v>170</v>
      </c>
      <c r="N2" s="26" t="s">
        <v>171</v>
      </c>
      <c r="O2" s="26" t="s">
        <v>172</v>
      </c>
    </row>
    <row r="3" spans="1:15">
      <c r="A3" s="4">
        <v>1</v>
      </c>
      <c r="B3" s="5" t="s">
        <v>10</v>
      </c>
      <c r="C3" s="4">
        <v>1</v>
      </c>
      <c r="D3" s="25" t="s">
        <v>11</v>
      </c>
      <c r="E3" s="58">
        <v>320000</v>
      </c>
      <c r="F3" s="70">
        <v>3000000</v>
      </c>
      <c r="G3" s="27">
        <f>2500000</f>
        <v>2500000</v>
      </c>
      <c r="H3" s="27">
        <f>F3/12</f>
        <v>250000</v>
      </c>
      <c r="I3" s="48">
        <f>C3*E3*12</f>
        <v>3840000</v>
      </c>
      <c r="J3" s="49">
        <f>C3*E3*12*(1+$J$1)</f>
        <v>4224000</v>
      </c>
      <c r="K3" s="43">
        <f>(E3-(H3*1.06))/E3</f>
        <v>0.171875</v>
      </c>
      <c r="L3" s="43">
        <f>(E3*(1+$J$1)-(H3*1.06*(1+$N$1)))/(E3*(1+$J$1))</f>
        <v>0.18693181818181817</v>
      </c>
      <c r="N3" s="27">
        <f>E3*$C3</f>
        <v>320000</v>
      </c>
      <c r="O3" s="27">
        <f>H3*$C3</f>
        <v>250000</v>
      </c>
    </row>
    <row r="4" spans="1:15">
      <c r="A4" s="4"/>
      <c r="B4" s="5" t="s">
        <v>173</v>
      </c>
      <c r="C4" s="4"/>
      <c r="D4" s="25"/>
      <c r="E4" s="58"/>
      <c r="F4" s="58">
        <f>800000</f>
        <v>800000</v>
      </c>
      <c r="G4" s="27">
        <f>800000</f>
        <v>800000</v>
      </c>
      <c r="H4" s="27">
        <f>F4/12</f>
        <v>66666.666666666672</v>
      </c>
      <c r="I4" s="48"/>
      <c r="J4" s="49"/>
      <c r="K4" s="43"/>
      <c r="L4" s="43"/>
      <c r="N4" s="27">
        <f>E4*$C4</f>
        <v>0</v>
      </c>
      <c r="O4" s="27">
        <f>H4</f>
        <v>66666.666666666672</v>
      </c>
    </row>
    <row r="5" spans="1:15">
      <c r="A5" s="4">
        <v>2</v>
      </c>
      <c r="B5" s="5" t="s">
        <v>17</v>
      </c>
      <c r="C5" s="4">
        <v>5</v>
      </c>
      <c r="D5" s="25" t="s">
        <v>18</v>
      </c>
      <c r="E5" s="58">
        <v>240000</v>
      </c>
      <c r="F5" s="70">
        <v>1800000</v>
      </c>
      <c r="G5" s="27">
        <f>1200000</f>
        <v>1200000</v>
      </c>
      <c r="H5" s="27">
        <f>F5/12</f>
        <v>150000</v>
      </c>
      <c r="I5" s="27">
        <f>C5*E5*12</f>
        <v>14400000</v>
      </c>
      <c r="J5" s="38">
        <f>C5*E5*12*(1+$J$1)</f>
        <v>15840000.000000002</v>
      </c>
      <c r="K5" s="43">
        <f>(E5-(H5*1.06))/E5</f>
        <v>0.33750000000000002</v>
      </c>
      <c r="L5" s="43">
        <f>(E5*(1+$J$1)-(H5*1.06*(1+$N$1)))/(E5*(1+$J$1))</f>
        <v>0.34954545454545455</v>
      </c>
      <c r="N5" s="27">
        <f>E5*$C5</f>
        <v>1200000</v>
      </c>
      <c r="O5" s="27">
        <f>H5*$C5</f>
        <v>750000</v>
      </c>
    </row>
    <row r="6" spans="1:15">
      <c r="A6" s="4">
        <v>3</v>
      </c>
      <c r="B6" s="5" t="s">
        <v>24</v>
      </c>
      <c r="C6" s="4">
        <v>8</v>
      </c>
      <c r="D6" s="25" t="s">
        <v>25</v>
      </c>
      <c r="E6" s="58">
        <v>280000</v>
      </c>
      <c r="F6" s="70">
        <v>2400000</v>
      </c>
      <c r="G6" s="27">
        <f>1900000</f>
        <v>1900000</v>
      </c>
      <c r="H6" s="27">
        <f>F6/12</f>
        <v>200000</v>
      </c>
      <c r="I6" s="27">
        <f>C6*E6*12</f>
        <v>26880000</v>
      </c>
      <c r="J6" s="38">
        <f>C6*E6*12*(1+$J$1)</f>
        <v>29568000.000000004</v>
      </c>
      <c r="K6" s="43">
        <f>(E6-(H6*1.06))/E6</f>
        <v>0.24285714285714285</v>
      </c>
      <c r="L6" s="43">
        <f>(E6*(1+$J$1)-(H6*1.06*(1+$N$1)))/(E6*(1+$J$1))</f>
        <v>0.25662337662337653</v>
      </c>
      <c r="N6" s="27">
        <f>E6*$C6</f>
        <v>2240000</v>
      </c>
      <c r="O6" s="27">
        <f>H6*$C6</f>
        <v>1600000</v>
      </c>
    </row>
    <row r="7" spans="1:15">
      <c r="A7" s="4">
        <v>4</v>
      </c>
      <c r="B7" s="5" t="s">
        <v>31</v>
      </c>
      <c r="C7" s="4">
        <v>2</v>
      </c>
      <c r="D7" s="25" t="s">
        <v>18</v>
      </c>
      <c r="E7" s="58">
        <v>220000</v>
      </c>
      <c r="F7" s="70">
        <v>2000000</v>
      </c>
      <c r="G7" s="27">
        <f>1500000</f>
        <v>1500000</v>
      </c>
      <c r="H7" s="27">
        <f>F7/12</f>
        <v>166666.66666666666</v>
      </c>
      <c r="I7" s="27">
        <f>C7*E7*12</f>
        <v>5280000</v>
      </c>
      <c r="J7" s="38">
        <f>C7*E7*12*(1+$J$1)</f>
        <v>5808000.0000000009</v>
      </c>
      <c r="K7" s="43">
        <f>(E7-(H7*1.06))/E7</f>
        <v>0.19696969696969702</v>
      </c>
      <c r="L7" s="43">
        <f>(E7*(1+$J$1)-(H7*1.06*(1+$N$1)))/(E7*(1+$J$1))</f>
        <v>0.2115702479338844</v>
      </c>
      <c r="N7" s="27">
        <f>E7*$C7</f>
        <v>440000</v>
      </c>
      <c r="O7" s="27">
        <f>H7*$C7</f>
        <v>333333.33333333331</v>
      </c>
    </row>
    <row r="8" spans="1:15">
      <c r="A8" s="4">
        <v>5</v>
      </c>
      <c r="B8" s="4" t="s">
        <v>37</v>
      </c>
      <c r="C8" s="4">
        <v>2</v>
      </c>
      <c r="D8" s="25" t="s">
        <v>18</v>
      </c>
      <c r="E8" s="58">
        <v>250000</v>
      </c>
      <c r="F8" s="70">
        <v>2000000</v>
      </c>
      <c r="G8" s="27">
        <f>1800000</f>
        <v>1800000</v>
      </c>
      <c r="H8" s="27">
        <f>F8/12</f>
        <v>166666.66666666666</v>
      </c>
      <c r="I8" s="27">
        <f>C8*E8*12</f>
        <v>6000000</v>
      </c>
      <c r="J8" s="38">
        <f>C8*E8*12*(1+$J$1)</f>
        <v>6600000.0000000009</v>
      </c>
      <c r="K8" s="43">
        <f>(E8-(H8*1.06))/E8</f>
        <v>0.29333333333333339</v>
      </c>
      <c r="L8" s="43">
        <f>(E8*(1+$J$1)-(H8*1.06*(1+$N$1)))/(E8*(1+$J$1))</f>
        <v>0.30618181818181817</v>
      </c>
      <c r="N8" s="27">
        <f>E8*$C8</f>
        <v>500000</v>
      </c>
      <c r="O8" s="27">
        <f>H8*$C8</f>
        <v>333333.33333333331</v>
      </c>
    </row>
    <row r="9" spans="1:15">
      <c r="A9" s="4">
        <v>6</v>
      </c>
      <c r="B9" s="5" t="s">
        <v>43</v>
      </c>
      <c r="C9" s="4">
        <v>3</v>
      </c>
      <c r="D9" s="25">
        <v>4</v>
      </c>
      <c r="E9" s="58">
        <v>240000</v>
      </c>
      <c r="F9" s="58">
        <v>1350000</v>
      </c>
      <c r="G9" s="58">
        <v>1350000</v>
      </c>
      <c r="H9" s="27">
        <f>F9/12</f>
        <v>112500</v>
      </c>
      <c r="I9" s="27">
        <f>C9*E9*12</f>
        <v>8640000</v>
      </c>
      <c r="J9" s="38">
        <f>C9*E9*12*(1+$J$1)</f>
        <v>9504000</v>
      </c>
      <c r="K9" s="43">
        <f>(E9-(H9*1.06))/E9</f>
        <v>0.50312500000000004</v>
      </c>
      <c r="L9" s="43">
        <f>(E9*(1+$J$1)-(H9*1.06*(1+$N$1)))/(E9*(1+$J$1))</f>
        <v>0.51215909090909095</v>
      </c>
      <c r="N9" s="27">
        <f>E9*$C9</f>
        <v>720000</v>
      </c>
      <c r="O9" s="27">
        <f>H9*$C9</f>
        <v>337500</v>
      </c>
    </row>
    <row r="10" spans="1:15">
      <c r="A10" s="4">
        <v>7</v>
      </c>
      <c r="B10" s="4" t="s">
        <v>48</v>
      </c>
      <c r="C10" s="4">
        <v>2</v>
      </c>
      <c r="D10" s="25" t="s">
        <v>49</v>
      </c>
      <c r="E10" s="58">
        <v>190000</v>
      </c>
      <c r="F10" s="70">
        <v>1400000</v>
      </c>
      <c r="G10" s="27">
        <v>1000000</v>
      </c>
      <c r="H10" s="27">
        <f>F10/12</f>
        <v>116666.66666666667</v>
      </c>
      <c r="I10" s="27">
        <f>C10*E10*12</f>
        <v>4560000</v>
      </c>
      <c r="J10" s="38">
        <f>C10*E10*12*(1+$J$1)</f>
        <v>5016000</v>
      </c>
      <c r="K10" s="43">
        <f>(E10-(H10*1.06))/E10</f>
        <v>0.34912280701754383</v>
      </c>
      <c r="L10" s="43">
        <f>(E10*(1+$J$1)-(H10*1.06*(1+$N$1)))/(E10*(1+$J$1))</f>
        <v>0.36095693779904314</v>
      </c>
      <c r="N10" s="27">
        <f>E10*$C10</f>
        <v>380000</v>
      </c>
      <c r="O10" s="27">
        <f>H10*$C10</f>
        <v>233333.33333333334</v>
      </c>
    </row>
    <row r="11" spans="1:15">
      <c r="A11" s="4">
        <v>8</v>
      </c>
      <c r="B11" s="4" t="s">
        <v>53</v>
      </c>
      <c r="C11" s="4">
        <v>2</v>
      </c>
      <c r="D11" s="25" t="s">
        <v>54</v>
      </c>
      <c r="E11" s="58">
        <v>160000</v>
      </c>
      <c r="F11" s="70">
        <v>1000000</v>
      </c>
      <c r="G11" s="27">
        <f>800000</f>
        <v>800000</v>
      </c>
      <c r="H11" s="27">
        <f>F11/12</f>
        <v>83333.333333333328</v>
      </c>
      <c r="I11" s="27">
        <f>C11*E11*12</f>
        <v>3840000</v>
      </c>
      <c r="J11" s="38">
        <f>C11*E11*12*(1+$J$1)</f>
        <v>4224000</v>
      </c>
      <c r="K11" s="43">
        <f>(E11-(H11*1.06))/E11</f>
        <v>0.44791666666666669</v>
      </c>
      <c r="L11" s="43">
        <f>(E11*(1+$J$1)-(H11*1.06*(1+$N$1)))/(E11*(1+$J$1))</f>
        <v>0.45795454545454545</v>
      </c>
      <c r="N11" s="27">
        <f>E11*$C11</f>
        <v>320000</v>
      </c>
      <c r="O11" s="27">
        <f>H11*$C11</f>
        <v>166666.66666666666</v>
      </c>
    </row>
    <row r="12" spans="1:15">
      <c r="A12" s="4">
        <v>9</v>
      </c>
      <c r="B12" s="4" t="s">
        <v>59</v>
      </c>
      <c r="C12" s="4">
        <v>1</v>
      </c>
      <c r="D12" s="25">
        <v>5</v>
      </c>
      <c r="E12" s="58">
        <v>250000</v>
      </c>
      <c r="F12" s="58">
        <f>1500000</f>
        <v>1500000</v>
      </c>
      <c r="G12" s="27">
        <f>1500000</f>
        <v>1500000</v>
      </c>
      <c r="H12" s="27">
        <f>F12/12</f>
        <v>125000</v>
      </c>
      <c r="I12" s="27">
        <f>C12*E12*12</f>
        <v>3000000</v>
      </c>
      <c r="J12" s="38">
        <f>C12*E12*12*(1+$J$1)</f>
        <v>3300000.0000000005</v>
      </c>
      <c r="K12" s="43">
        <f>(E12-(H12*1.06))/E12</f>
        <v>0.47</v>
      </c>
      <c r="L12" s="43">
        <f>(E12*(1+$J$1)-(H12*1.06*(1+$N$1)))/(E12*(1+$J$1))</f>
        <v>0.47963636363636364</v>
      </c>
      <c r="N12" s="27">
        <f>E12*$C12</f>
        <v>250000</v>
      </c>
      <c r="O12" s="27">
        <f>H12*$C12</f>
        <v>125000</v>
      </c>
    </row>
    <row r="13" spans="1:15">
      <c r="A13" s="4">
        <v>10</v>
      </c>
      <c r="B13" s="4" t="s">
        <v>64</v>
      </c>
      <c r="C13" s="4">
        <v>1</v>
      </c>
      <c r="D13" s="25">
        <v>5</v>
      </c>
      <c r="E13" s="58">
        <v>220000</v>
      </c>
      <c r="F13" s="58">
        <f>1500000</f>
        <v>1500000</v>
      </c>
      <c r="G13" s="27">
        <f>1500000</f>
        <v>1500000</v>
      </c>
      <c r="H13" s="27">
        <f>F13/12</f>
        <v>125000</v>
      </c>
      <c r="I13" s="27">
        <f>C13*E13*12</f>
        <v>2640000</v>
      </c>
      <c r="J13" s="38">
        <f>C13*E13*12*(1+$J$1)</f>
        <v>2904000.0000000005</v>
      </c>
      <c r="K13" s="43">
        <f>(E13-(H13*1.06))/E13</f>
        <v>0.39772727272727271</v>
      </c>
      <c r="L13" s="43">
        <f>(E13*(1+$J$1)-(H13*1.06*(1+$N$1)))/(E13*(1+$J$1))</f>
        <v>0.40867768595041332</v>
      </c>
      <c r="N13" s="27">
        <f>E13*$C13</f>
        <v>220000</v>
      </c>
      <c r="O13" s="27">
        <f>H13*$C13</f>
        <v>125000</v>
      </c>
    </row>
    <row r="14" spans="1:15">
      <c r="A14" s="4">
        <v>11</v>
      </c>
      <c r="B14" s="4" t="s">
        <v>70</v>
      </c>
      <c r="C14" s="4">
        <v>1</v>
      </c>
      <c r="D14" s="25">
        <v>5</v>
      </c>
      <c r="E14" s="58">
        <v>220000</v>
      </c>
      <c r="F14" s="58">
        <f>1500000</f>
        <v>1500000</v>
      </c>
      <c r="G14" s="27">
        <f>1500000</f>
        <v>1500000</v>
      </c>
      <c r="H14" s="27">
        <f>F14/12</f>
        <v>125000</v>
      </c>
      <c r="I14" s="27">
        <f>C14*E14*12</f>
        <v>2640000</v>
      </c>
      <c r="J14" s="38">
        <f>C14*E14*12*(1+$J$1)</f>
        <v>2904000.0000000005</v>
      </c>
      <c r="K14" s="43">
        <f>(E14-(H14*1.06))/E14</f>
        <v>0.39772727272727271</v>
      </c>
      <c r="L14" s="43">
        <f>(E14*(1+$J$1)-(H14*1.06*(1+$N$1)))/(E14*(1+$J$1))</f>
        <v>0.40867768595041332</v>
      </c>
      <c r="N14" s="27">
        <f>E14*$C14</f>
        <v>220000</v>
      </c>
      <c r="O14" s="27">
        <f>H14*$C14</f>
        <v>125000</v>
      </c>
    </row>
    <row r="15" spans="1:15">
      <c r="A15" s="4">
        <v>12</v>
      </c>
      <c r="B15" s="4" t="s">
        <v>76</v>
      </c>
      <c r="C15" s="24">
        <v>2</v>
      </c>
      <c r="D15" s="25">
        <v>4</v>
      </c>
      <c r="E15" s="58">
        <v>160000</v>
      </c>
      <c r="F15" s="70">
        <v>1200000</v>
      </c>
      <c r="G15" s="27">
        <f>800000</f>
        <v>800000</v>
      </c>
      <c r="H15" s="27">
        <f>F15/12</f>
        <v>100000</v>
      </c>
      <c r="I15" s="28">
        <f>C15*E15*12</f>
        <v>3840000</v>
      </c>
      <c r="J15" s="39">
        <f>C15*E15*12*(1+$J$1)</f>
        <v>4224000</v>
      </c>
      <c r="K15" s="43">
        <f>(E15-(H15*1.06))/E15</f>
        <v>0.33750000000000002</v>
      </c>
      <c r="L15" s="43">
        <f>(E15*(1+$J$1)-(H15*1.06*(1+$N$1)))/(E15*(1+$J$1))</f>
        <v>0.34954545454545444</v>
      </c>
      <c r="N15" s="27">
        <f>E15*$C15</f>
        <v>320000</v>
      </c>
      <c r="O15" s="27">
        <f>H15*$C15</f>
        <v>200000</v>
      </c>
    </row>
    <row r="16" spans="1:15">
      <c r="C16" s="44">
        <f>SUM(C3:C15)</f>
        <v>30</v>
      </c>
      <c r="E16" s="50">
        <f>SUM(E3:E15)</f>
        <v>2750000</v>
      </c>
      <c r="F16" s="29"/>
      <c r="G16" s="29"/>
      <c r="H16" s="50">
        <f>SUM(H3:H15)</f>
        <v>1787500</v>
      </c>
      <c r="I16" s="50">
        <f>SUM(I3:I15)</f>
        <v>85560000</v>
      </c>
      <c r="J16" s="50">
        <f>SUM(J3:J15)</f>
        <v>94116000</v>
      </c>
      <c r="N16" s="50">
        <f>SUM(N3:N15)</f>
        <v>7130000</v>
      </c>
      <c r="O16" s="50">
        <f>SUM(O3:O15)</f>
        <v>4645833.333333334</v>
      </c>
    </row>
    <row r="17" spans="8:14" ht="7.5" customHeight="1"/>
    <row r="18" spans="8:14">
      <c r="I18" s="1" t="s">
        <v>167</v>
      </c>
      <c r="J18" s="1" t="s">
        <v>168</v>
      </c>
      <c r="N18" s="51"/>
    </row>
    <row r="19" spans="8:14">
      <c r="H19" s="32" t="s">
        <v>174</v>
      </c>
      <c r="I19" s="71">
        <f>(I16/C16)/12</f>
        <v>237666.66666666666</v>
      </c>
      <c r="J19" s="71">
        <f>(J16/C16)/12</f>
        <v>261433.33333333334</v>
      </c>
    </row>
    <row r="20" spans="8:14">
      <c r="H20" s="32" t="s">
        <v>175</v>
      </c>
      <c r="I20" s="72">
        <f>((N16-(O16*1.06))/N16)</f>
        <v>0.30931510051425892</v>
      </c>
      <c r="J20" s="73">
        <f>(((N16*(1+$J$1))-((O16*(1+$N$1))*1.06))/(N16*(1+$J$1)))</f>
        <v>0.32187300777763606</v>
      </c>
    </row>
    <row r="21" spans="8:14">
      <c r="H21" s="52" t="s">
        <v>176</v>
      </c>
      <c r="I21" s="50">
        <f>O16/C16</f>
        <v>154861.11111111112</v>
      </c>
      <c r="J21" s="50">
        <f>(O16*(1+N1))/C16</f>
        <v>167250.00000000003</v>
      </c>
      <c r="N21" s="51"/>
    </row>
    <row r="22" spans="8:14">
      <c r="H22" s="32" t="s">
        <v>177</v>
      </c>
      <c r="I22" s="73">
        <f>((N16-(O16*1.06*1.45))/N16)-10%</f>
        <v>-0.10149310425432455</v>
      </c>
      <c r="J22" s="73">
        <f>((N16*(1+J1)-(O16*1.06*1.45*(1+N1)))/(N16*(1+J1)))-10%</f>
        <v>-8.3284138722427653E-2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6B54B-F615-4F48-8D3D-580A984F3F61}">
  <dimension ref="A1:N22"/>
  <sheetViews>
    <sheetView workbookViewId="0">
      <selection sqref="A1:O22"/>
    </sheetView>
  </sheetViews>
  <sheetFormatPr defaultRowHeight="15"/>
  <cols>
    <col min="1" max="1" width="5.28515625" bestFit="1" customWidth="1"/>
    <col min="2" max="2" width="19.5703125" bestFit="1" customWidth="1"/>
    <col min="3" max="3" width="11.140625" customWidth="1"/>
    <col min="4" max="4" width="10.7109375" customWidth="1"/>
    <col min="5" max="6" width="15.85546875" customWidth="1"/>
    <col min="7" max="7" width="15.5703125" customWidth="1"/>
    <col min="8" max="8" width="14.42578125" customWidth="1"/>
    <col min="9" max="9" width="15.28515625" customWidth="1"/>
    <col min="10" max="10" width="15.140625" customWidth="1"/>
    <col min="11" max="11" width="13.5703125" customWidth="1"/>
    <col min="12" max="12" width="13" customWidth="1"/>
    <col min="13" max="13" width="19" bestFit="1" customWidth="1"/>
    <col min="14" max="14" width="18.42578125" bestFit="1" customWidth="1"/>
    <col min="15" max="15" width="4.140625" customWidth="1"/>
  </cols>
  <sheetData>
    <row r="1" spans="1:14">
      <c r="H1" s="44" t="s">
        <v>161</v>
      </c>
      <c r="I1" s="45">
        <v>0.1</v>
      </c>
      <c r="L1" s="44" t="s">
        <v>162</v>
      </c>
      <c r="M1" s="30">
        <v>0.08</v>
      </c>
    </row>
    <row r="2" spans="1:14">
      <c r="A2" s="1" t="s">
        <v>0</v>
      </c>
      <c r="B2" s="1" t="s">
        <v>1</v>
      </c>
      <c r="C2" s="1" t="s">
        <v>2</v>
      </c>
      <c r="D2" s="1" t="s">
        <v>3</v>
      </c>
      <c r="E2" s="26" t="s">
        <v>163</v>
      </c>
      <c r="F2" s="46" t="s">
        <v>164</v>
      </c>
      <c r="G2" s="46" t="s">
        <v>166</v>
      </c>
      <c r="H2" s="1" t="s">
        <v>167</v>
      </c>
      <c r="I2" s="1" t="s">
        <v>168</v>
      </c>
      <c r="J2" s="47" t="s">
        <v>169</v>
      </c>
      <c r="K2" s="1" t="s">
        <v>170</v>
      </c>
      <c r="M2" s="26" t="s">
        <v>171</v>
      </c>
      <c r="N2" s="26" t="s">
        <v>172</v>
      </c>
    </row>
    <row r="3" spans="1:14">
      <c r="A3" s="4">
        <v>1</v>
      </c>
      <c r="B3" s="5" t="s">
        <v>10</v>
      </c>
      <c r="C3" s="4">
        <v>1</v>
      </c>
      <c r="D3" s="25" t="s">
        <v>11</v>
      </c>
      <c r="E3" s="58">
        <v>320000</v>
      </c>
      <c r="F3" s="27">
        <f>2500000</f>
        <v>2500000</v>
      </c>
      <c r="G3" s="27">
        <f>F3/12</f>
        <v>208333.33333333334</v>
      </c>
      <c r="H3" s="48">
        <f>C3*E3*12</f>
        <v>3840000</v>
      </c>
      <c r="I3" s="49">
        <f>C3*E3*12*(1+$I$1)</f>
        <v>4224000</v>
      </c>
      <c r="J3" s="43">
        <f>(E3-(G3*1.06))/E3</f>
        <v>0.30989583333333331</v>
      </c>
      <c r="K3" s="43">
        <f>(E3*(1+$I$1)-(G3*1.06*(1+$M$1)))/(E3*(1+$I$1))</f>
        <v>0.32244318181818171</v>
      </c>
      <c r="M3" s="27">
        <f>E3*$C3</f>
        <v>320000</v>
      </c>
      <c r="N3" s="27">
        <f>G3*$C3</f>
        <v>208333.33333333334</v>
      </c>
    </row>
    <row r="4" spans="1:14">
      <c r="A4" s="4"/>
      <c r="B4" s="5" t="s">
        <v>173</v>
      </c>
      <c r="C4" s="4"/>
      <c r="D4" s="25"/>
      <c r="E4" s="58"/>
      <c r="F4" s="27">
        <f>800000</f>
        <v>800000</v>
      </c>
      <c r="G4" s="27">
        <f>F4/12</f>
        <v>66666.666666666672</v>
      </c>
      <c r="H4" s="48"/>
      <c r="I4" s="49"/>
      <c r="J4" s="43"/>
      <c r="K4" s="43"/>
      <c r="M4" s="27">
        <f>E4*$C4</f>
        <v>0</v>
      </c>
      <c r="N4" s="27">
        <f>G4</f>
        <v>66666.666666666672</v>
      </c>
    </row>
    <row r="5" spans="1:14">
      <c r="A5" s="4">
        <v>2</v>
      </c>
      <c r="B5" s="5" t="s">
        <v>17</v>
      </c>
      <c r="C5" s="4">
        <v>5</v>
      </c>
      <c r="D5" s="25" t="s">
        <v>18</v>
      </c>
      <c r="E5" s="58">
        <v>230000</v>
      </c>
      <c r="F5" s="27">
        <f>1200000</f>
        <v>1200000</v>
      </c>
      <c r="G5" s="27">
        <f>F5/12</f>
        <v>100000</v>
      </c>
      <c r="H5" s="27">
        <f>C5*E5*12</f>
        <v>13800000</v>
      </c>
      <c r="I5" s="38">
        <f>C5*E5*12*(1+$I$1)</f>
        <v>15180000.000000002</v>
      </c>
      <c r="J5" s="43">
        <f>(E5-(G5*1.06))/E5</f>
        <v>0.53913043478260869</v>
      </c>
      <c r="K5" s="43">
        <f>(E5*(1+$I$1)-(G5*1.06*(1+$M$1)))/(E5*(1+$I$1))</f>
        <v>0.54750988142292489</v>
      </c>
      <c r="M5" s="27">
        <f t="shared" ref="M5:M15" si="0">E5*$C5</f>
        <v>1150000</v>
      </c>
      <c r="N5" s="27">
        <f>G5*$C5</f>
        <v>500000</v>
      </c>
    </row>
    <row r="6" spans="1:14">
      <c r="A6" s="4">
        <v>3</v>
      </c>
      <c r="B6" s="5" t="s">
        <v>24</v>
      </c>
      <c r="C6" s="4">
        <v>8</v>
      </c>
      <c r="D6" s="25" t="s">
        <v>25</v>
      </c>
      <c r="E6" s="58">
        <v>280000</v>
      </c>
      <c r="F6" s="27">
        <f>1900000</f>
        <v>1900000</v>
      </c>
      <c r="G6" s="27">
        <f>F6/12</f>
        <v>158333.33333333334</v>
      </c>
      <c r="H6" s="27">
        <f>C6*E6*12</f>
        <v>26880000</v>
      </c>
      <c r="I6" s="38">
        <f>C6*E6*12*(1+$I$1)</f>
        <v>29568000.000000004</v>
      </c>
      <c r="J6" s="43">
        <f>(E6-(G6*1.06))/E6</f>
        <v>0.40059523809523806</v>
      </c>
      <c r="K6" s="43">
        <f>(E6*(1+$I$1)-(G6*1.06*(1+$M$1)))/(E6*(1+$I$1))</f>
        <v>0.41149350649350641</v>
      </c>
      <c r="M6" s="27">
        <f t="shared" si="0"/>
        <v>2240000</v>
      </c>
      <c r="N6" s="27">
        <f t="shared" ref="N6:N7" si="1">G6*$C6</f>
        <v>1266666.6666666667</v>
      </c>
    </row>
    <row r="7" spans="1:14">
      <c r="A7" s="4">
        <v>4</v>
      </c>
      <c r="B7" s="5" t="s">
        <v>31</v>
      </c>
      <c r="C7" s="4">
        <v>2</v>
      </c>
      <c r="D7" s="25" t="s">
        <v>18</v>
      </c>
      <c r="E7" s="58">
        <v>230000</v>
      </c>
      <c r="F7" s="27">
        <f>1500000</f>
        <v>1500000</v>
      </c>
      <c r="G7" s="27">
        <f>F7/12</f>
        <v>125000</v>
      </c>
      <c r="H7" s="27">
        <f>C7*E7*12</f>
        <v>5520000</v>
      </c>
      <c r="I7" s="38">
        <f>C7*E7*12*(1+$I$1)</f>
        <v>6072000.0000000009</v>
      </c>
      <c r="J7" s="43">
        <f>(E7-(G7*1.06))/E7</f>
        <v>0.42391304347826086</v>
      </c>
      <c r="K7" s="43">
        <f>(E7*(1+$I$1)-(G7*1.06*(1+$M$1)))/(E7*(1+$I$1))</f>
        <v>0.43438735177865617</v>
      </c>
      <c r="M7" s="27">
        <f t="shared" si="0"/>
        <v>460000</v>
      </c>
      <c r="N7" s="27">
        <f t="shared" si="1"/>
        <v>250000</v>
      </c>
    </row>
    <row r="8" spans="1:14">
      <c r="A8" s="4">
        <v>5</v>
      </c>
      <c r="B8" s="4" t="s">
        <v>37</v>
      </c>
      <c r="C8" s="4">
        <v>2</v>
      </c>
      <c r="D8" s="25" t="s">
        <v>18</v>
      </c>
      <c r="E8" s="58">
        <v>250000</v>
      </c>
      <c r="F8" s="27">
        <f>1800000</f>
        <v>1800000</v>
      </c>
      <c r="G8" s="27">
        <f>F8/12</f>
        <v>150000</v>
      </c>
      <c r="H8" s="27">
        <f>C8*E8*12</f>
        <v>6000000</v>
      </c>
      <c r="I8" s="38">
        <f>C8*E8*12*(1+$I$1)</f>
        <v>6600000.0000000009</v>
      </c>
      <c r="J8" s="43">
        <f>(E8-(G8*1.06))/E8</f>
        <v>0.36399999999999999</v>
      </c>
      <c r="K8" s="43">
        <f>(E8*(1+$I$1)-(G8*1.06*(1+$M$1)))/(E8*(1+$I$1))</f>
        <v>0.37556363636363638</v>
      </c>
      <c r="M8" s="27">
        <f t="shared" si="0"/>
        <v>500000</v>
      </c>
      <c r="N8" s="27">
        <f t="shared" ref="N5:N15" si="2">G8*$C8</f>
        <v>300000</v>
      </c>
    </row>
    <row r="9" spans="1:14">
      <c r="A9" s="4">
        <v>6</v>
      </c>
      <c r="B9" s="5" t="s">
        <v>43</v>
      </c>
      <c r="C9" s="4">
        <v>3</v>
      </c>
      <c r="D9" s="25">
        <v>4</v>
      </c>
      <c r="E9" s="58">
        <v>240000</v>
      </c>
      <c r="F9" s="27">
        <v>1350000</v>
      </c>
      <c r="G9" s="27">
        <f>F9/12</f>
        <v>112500</v>
      </c>
      <c r="H9" s="27">
        <f>C9*E9*12</f>
        <v>8640000</v>
      </c>
      <c r="I9" s="38">
        <f>C9*E9*12*(1+$I$1)</f>
        <v>9504000</v>
      </c>
      <c r="J9" s="43">
        <f>(E9-(G9*1.06))/E9</f>
        <v>0.50312500000000004</v>
      </c>
      <c r="K9" s="43">
        <f>(E9*(1+$I$1)-(G9*1.06*(1+$M$1)))/(E9*(1+$I$1))</f>
        <v>0.51215909090909095</v>
      </c>
      <c r="M9" s="27">
        <f t="shared" si="0"/>
        <v>720000</v>
      </c>
      <c r="N9" s="27">
        <f t="shared" si="2"/>
        <v>337500</v>
      </c>
    </row>
    <row r="10" spans="1:14">
      <c r="A10" s="4">
        <v>7</v>
      </c>
      <c r="B10" s="4" t="s">
        <v>48</v>
      </c>
      <c r="C10" s="4">
        <v>2</v>
      </c>
      <c r="D10" s="25" t="s">
        <v>49</v>
      </c>
      <c r="E10" s="58">
        <v>190000</v>
      </c>
      <c r="F10" s="27">
        <v>1000000</v>
      </c>
      <c r="G10" s="27">
        <f>F10/12</f>
        <v>83333.333333333328</v>
      </c>
      <c r="H10" s="27">
        <f>C10*E10*12</f>
        <v>4560000</v>
      </c>
      <c r="I10" s="38">
        <f>C10*E10*12*(1+$I$1)</f>
        <v>5016000</v>
      </c>
      <c r="J10" s="43">
        <f>(E10-(G10*1.06))/E10</f>
        <v>0.53508771929824561</v>
      </c>
      <c r="K10" s="43">
        <f>(E10*(1+$I$1)-(G10*1.06*(1+$M$1)))/(E10*(1+$I$1))</f>
        <v>0.54354066985645944</v>
      </c>
      <c r="M10" s="27">
        <f t="shared" si="0"/>
        <v>380000</v>
      </c>
      <c r="N10" s="27">
        <f t="shared" si="2"/>
        <v>166666.66666666666</v>
      </c>
    </row>
    <row r="11" spans="1:14">
      <c r="A11" s="4">
        <v>8</v>
      </c>
      <c r="B11" s="4" t="s">
        <v>53</v>
      </c>
      <c r="C11" s="4">
        <v>2</v>
      </c>
      <c r="D11" s="25" t="s">
        <v>54</v>
      </c>
      <c r="E11" s="58">
        <v>160000</v>
      </c>
      <c r="F11" s="27">
        <f>800000</f>
        <v>800000</v>
      </c>
      <c r="G11" s="27">
        <f>F11/12</f>
        <v>66666.666666666672</v>
      </c>
      <c r="H11" s="27">
        <f>C11*E11*12</f>
        <v>3840000</v>
      </c>
      <c r="I11" s="38">
        <f>C11*E11*12*(1+$I$1)</f>
        <v>4224000</v>
      </c>
      <c r="J11" s="43">
        <f>(E11-(G11*1.06))/E11</f>
        <v>0.55833333333333335</v>
      </c>
      <c r="K11" s="43">
        <f>(E11*(1+$I$1)-(G11*1.06*(1+$M$1)))/(E11*(1+$I$1))</f>
        <v>0.56636363636363629</v>
      </c>
      <c r="M11" s="27">
        <f t="shared" si="0"/>
        <v>320000</v>
      </c>
      <c r="N11" s="27">
        <f t="shared" si="2"/>
        <v>133333.33333333334</v>
      </c>
    </row>
    <row r="12" spans="1:14">
      <c r="A12" s="4">
        <v>9</v>
      </c>
      <c r="B12" s="4" t="s">
        <v>59</v>
      </c>
      <c r="C12" s="4">
        <v>1</v>
      </c>
      <c r="D12" s="25">
        <v>5</v>
      </c>
      <c r="E12" s="58">
        <v>250000</v>
      </c>
      <c r="F12" s="27">
        <f>1500000</f>
        <v>1500000</v>
      </c>
      <c r="G12" s="27">
        <f>F12/12</f>
        <v>125000</v>
      </c>
      <c r="H12" s="27">
        <f>C12*E12*12</f>
        <v>3000000</v>
      </c>
      <c r="I12" s="38">
        <f>C12*E12*12*(1+$I$1)</f>
        <v>3300000.0000000005</v>
      </c>
      <c r="J12" s="43">
        <f>(E12-(G12*1.06))/E12</f>
        <v>0.47</v>
      </c>
      <c r="K12" s="43">
        <f>(E12*(1+$I$1)-(G12*1.06*(1+$M$1)))/(E12*(1+$I$1))</f>
        <v>0.47963636363636364</v>
      </c>
      <c r="M12" s="27">
        <f t="shared" si="0"/>
        <v>250000</v>
      </c>
      <c r="N12" s="27">
        <f t="shared" si="2"/>
        <v>125000</v>
      </c>
    </row>
    <row r="13" spans="1:14">
      <c r="A13" s="4">
        <v>10</v>
      </c>
      <c r="B13" s="4" t="s">
        <v>64</v>
      </c>
      <c r="C13" s="4">
        <v>1</v>
      </c>
      <c r="D13" s="25">
        <v>5</v>
      </c>
      <c r="E13" s="58">
        <v>220000</v>
      </c>
      <c r="F13" s="27">
        <f t="shared" ref="F13:F14" si="3">1500000</f>
        <v>1500000</v>
      </c>
      <c r="G13" s="27">
        <f>F13/12</f>
        <v>125000</v>
      </c>
      <c r="H13" s="27">
        <f>C13*E13*12</f>
        <v>2640000</v>
      </c>
      <c r="I13" s="38">
        <f>C13*E13*12*(1+$I$1)</f>
        <v>2904000.0000000005</v>
      </c>
      <c r="J13" s="43">
        <f>(E13-(G13*1.06))/E13</f>
        <v>0.39772727272727271</v>
      </c>
      <c r="K13" s="43">
        <f>(E13*(1+$I$1)-(G13*1.06*(1+$M$1)))/(E13*(1+$I$1))</f>
        <v>0.40867768595041332</v>
      </c>
      <c r="M13" s="27">
        <f t="shared" si="0"/>
        <v>220000</v>
      </c>
      <c r="N13" s="27">
        <f t="shared" si="2"/>
        <v>125000</v>
      </c>
    </row>
    <row r="14" spans="1:14">
      <c r="A14" s="4">
        <v>11</v>
      </c>
      <c r="B14" s="4" t="s">
        <v>70</v>
      </c>
      <c r="C14" s="4">
        <v>1</v>
      </c>
      <c r="D14" s="25">
        <v>5</v>
      </c>
      <c r="E14" s="58">
        <v>220000</v>
      </c>
      <c r="F14" s="27">
        <f t="shared" si="3"/>
        <v>1500000</v>
      </c>
      <c r="G14" s="27">
        <f>F14/12</f>
        <v>125000</v>
      </c>
      <c r="H14" s="27">
        <f>C14*E14*12</f>
        <v>2640000</v>
      </c>
      <c r="I14" s="38">
        <f>C14*E14*12*(1+$I$1)</f>
        <v>2904000.0000000005</v>
      </c>
      <c r="J14" s="43">
        <f>(E14-(G14*1.06))/E14</f>
        <v>0.39772727272727271</v>
      </c>
      <c r="K14" s="43">
        <f>(E14*(1+$I$1)-(G14*1.06*(1+$M$1)))/(E14*(1+$I$1))</f>
        <v>0.40867768595041332</v>
      </c>
      <c r="M14" s="27">
        <f t="shared" si="0"/>
        <v>220000</v>
      </c>
      <c r="N14" s="27">
        <f t="shared" si="2"/>
        <v>125000</v>
      </c>
    </row>
    <row r="15" spans="1:14">
      <c r="A15" s="4">
        <v>12</v>
      </c>
      <c r="B15" s="4" t="s">
        <v>76</v>
      </c>
      <c r="C15" s="24">
        <v>2</v>
      </c>
      <c r="D15" s="25">
        <v>4</v>
      </c>
      <c r="E15" s="58">
        <v>160000</v>
      </c>
      <c r="F15" s="27">
        <f>800000</f>
        <v>800000</v>
      </c>
      <c r="G15" s="27">
        <f>F15/12</f>
        <v>66666.666666666672</v>
      </c>
      <c r="H15" s="28">
        <f>C15*E15*12</f>
        <v>3840000</v>
      </c>
      <c r="I15" s="39">
        <f>C15*E15*12*(1+$I$1)</f>
        <v>4224000</v>
      </c>
      <c r="J15" s="43">
        <f>(E15-(G15*1.06))/E15</f>
        <v>0.55833333333333335</v>
      </c>
      <c r="K15" s="43">
        <f>(E15*(1+$I$1)-(G15*1.06*(1+$M$1)))/(E15*(1+$I$1))</f>
        <v>0.56636363636363629</v>
      </c>
      <c r="M15" s="27">
        <f t="shared" si="0"/>
        <v>320000</v>
      </c>
      <c r="N15" s="27">
        <f t="shared" si="2"/>
        <v>133333.33333333334</v>
      </c>
    </row>
    <row r="16" spans="1:14">
      <c r="C16" s="44">
        <f>SUM(C3:C15)</f>
        <v>30</v>
      </c>
      <c r="E16" s="50">
        <f>SUM(E3:E15)</f>
        <v>2750000</v>
      </c>
      <c r="F16" s="29"/>
      <c r="G16" s="50">
        <f>SUM(G3:G15)</f>
        <v>1512500.0000000002</v>
      </c>
      <c r="H16" s="50">
        <f>SUM(H3:H15)</f>
        <v>85200000</v>
      </c>
      <c r="I16" s="50">
        <f>SUM(I3:I15)</f>
        <v>93720000</v>
      </c>
      <c r="M16" s="50">
        <f>SUM(M3:M15)</f>
        <v>7100000</v>
      </c>
      <c r="N16" s="50">
        <f>SUM(N3:N15)</f>
        <v>3737500.0000000005</v>
      </c>
    </row>
    <row r="17" spans="7:13" ht="7.5" customHeight="1"/>
    <row r="18" spans="7:13">
      <c r="H18" s="1" t="s">
        <v>167</v>
      </c>
      <c r="I18" s="1" t="s">
        <v>168</v>
      </c>
      <c r="M18" s="51"/>
    </row>
    <row r="19" spans="7:13">
      <c r="G19" s="32" t="s">
        <v>174</v>
      </c>
      <c r="H19" s="36">
        <f>(H16/C16)/12</f>
        <v>236666.66666666666</v>
      </c>
      <c r="I19" s="36">
        <f>(I16/C16)/12</f>
        <v>260333.33333333334</v>
      </c>
    </row>
    <row r="20" spans="7:13">
      <c r="G20" s="32" t="s">
        <v>175</v>
      </c>
      <c r="H20" s="53">
        <f>((M16-(N16*1.06))/M16)</f>
        <v>0.44200704225352105</v>
      </c>
      <c r="I20" s="37">
        <f>(((M16*(1+$I$1))-((N16*(1+$M$1))*1.06))/(M16*(1+$I$1)))</f>
        <v>0.45215236875800252</v>
      </c>
    </row>
    <row r="21" spans="7:13">
      <c r="G21" s="52" t="s">
        <v>176</v>
      </c>
      <c r="H21" s="29">
        <f>N16/C16</f>
        <v>124583.33333333334</v>
      </c>
      <c r="I21" s="29">
        <f>(N16*(1+M1))/C16</f>
        <v>134550.00000000003</v>
      </c>
      <c r="M21" s="51"/>
    </row>
    <row r="22" spans="7:13">
      <c r="G22" s="32" t="s">
        <v>177</v>
      </c>
      <c r="H22" s="37">
        <f>((M16-(N16*1.06*1.45))/M16)-10%</f>
        <v>9.0910211267605484E-2</v>
      </c>
      <c r="I22" s="37">
        <f>((M16*(1+I1)-(N16*1.06*1.45*(1+M1)))/(M16*(1+I1)))-10%</f>
        <v>0.10562093469910355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4FC83-E45C-451E-A277-E640C9B38C11}">
  <dimension ref="A1:J21"/>
  <sheetViews>
    <sheetView workbookViewId="0">
      <selection activeCell="D4" sqref="D4"/>
    </sheetView>
  </sheetViews>
  <sheetFormatPr defaultRowHeight="15"/>
  <cols>
    <col min="2" max="2" width="36.7109375" customWidth="1"/>
    <col min="3" max="3" width="9" customWidth="1"/>
    <col min="4" max="4" width="19.42578125" bestFit="1" customWidth="1"/>
    <col min="5" max="5" width="20.85546875" bestFit="1" customWidth="1"/>
    <col min="7" max="7" width="17.5703125" customWidth="1"/>
    <col min="8" max="8" width="18.28515625" customWidth="1"/>
    <col min="9" max="9" width="16.42578125" customWidth="1"/>
    <col min="10" max="10" width="19.7109375" customWidth="1"/>
  </cols>
  <sheetData>
    <row r="1" spans="1:10">
      <c r="A1" s="116" t="s">
        <v>0</v>
      </c>
      <c r="B1" s="116" t="s">
        <v>178</v>
      </c>
      <c r="C1" s="116" t="s">
        <v>179</v>
      </c>
      <c r="D1" s="118" t="s">
        <v>180</v>
      </c>
      <c r="E1" s="118"/>
    </row>
    <row r="2" spans="1:10" ht="18" customHeight="1">
      <c r="A2" s="117"/>
      <c r="B2" s="117"/>
      <c r="C2" s="117"/>
      <c r="D2" s="55" t="s">
        <v>181</v>
      </c>
      <c r="E2" s="55" t="s">
        <v>182</v>
      </c>
      <c r="G2" s="65">
        <v>2024</v>
      </c>
      <c r="H2" s="65">
        <v>2025</v>
      </c>
      <c r="I2" s="65">
        <v>2026</v>
      </c>
      <c r="J2" s="55" t="s">
        <v>182</v>
      </c>
    </row>
    <row r="3" spans="1:10">
      <c r="A3" s="56">
        <v>1</v>
      </c>
      <c r="B3" s="57" t="s">
        <v>183</v>
      </c>
      <c r="C3" s="59">
        <v>1</v>
      </c>
      <c r="D3" s="60">
        <v>240000</v>
      </c>
      <c r="E3" s="60">
        <f>D3*C3</f>
        <v>240000</v>
      </c>
      <c r="G3" s="64">
        <f>D3*1.1</f>
        <v>264000</v>
      </c>
      <c r="H3" s="64">
        <f>G3*1.1</f>
        <v>290400</v>
      </c>
      <c r="I3" s="67">
        <f>H3*1.1</f>
        <v>319440</v>
      </c>
      <c r="J3" s="66">
        <f>I3*C3</f>
        <v>319440</v>
      </c>
    </row>
    <row r="4" spans="1:10">
      <c r="A4" s="56">
        <v>2</v>
      </c>
      <c r="B4" s="57" t="s">
        <v>184</v>
      </c>
      <c r="C4" s="59">
        <v>2</v>
      </c>
      <c r="D4" s="60">
        <v>192000</v>
      </c>
      <c r="E4" s="60">
        <f t="shared" ref="E4:E16" si="0">D4*C4</f>
        <v>384000</v>
      </c>
      <c r="G4" s="64">
        <f t="shared" ref="G4:G16" si="1">D4*1.1</f>
        <v>211200.00000000003</v>
      </c>
      <c r="H4" s="64">
        <f t="shared" ref="H4:I16" si="2">G4*1.1</f>
        <v>232320.00000000006</v>
      </c>
      <c r="I4" s="67">
        <f t="shared" si="2"/>
        <v>255552.00000000009</v>
      </c>
      <c r="J4" s="66">
        <f t="shared" ref="J4:J16" si="3">I4*C4</f>
        <v>511104.00000000017</v>
      </c>
    </row>
    <row r="5" spans="1:10">
      <c r="A5" s="56">
        <v>3</v>
      </c>
      <c r="B5" s="57" t="s">
        <v>185</v>
      </c>
      <c r="C5" s="59">
        <v>2</v>
      </c>
      <c r="D5" s="60">
        <v>170000</v>
      </c>
      <c r="E5" s="60">
        <f t="shared" si="0"/>
        <v>340000</v>
      </c>
      <c r="G5" s="64">
        <f t="shared" si="1"/>
        <v>187000.00000000003</v>
      </c>
      <c r="H5" s="64">
        <f t="shared" si="2"/>
        <v>205700.00000000006</v>
      </c>
      <c r="I5" s="67">
        <f t="shared" si="2"/>
        <v>226270.00000000009</v>
      </c>
      <c r="J5" s="66">
        <f t="shared" si="3"/>
        <v>452540.00000000017</v>
      </c>
    </row>
    <row r="6" spans="1:10">
      <c r="A6" s="56">
        <v>4</v>
      </c>
      <c r="B6" s="57" t="s">
        <v>186</v>
      </c>
      <c r="C6" s="59">
        <v>2</v>
      </c>
      <c r="D6" s="60">
        <v>170000</v>
      </c>
      <c r="E6" s="60">
        <f t="shared" si="0"/>
        <v>340000</v>
      </c>
      <c r="G6" s="64">
        <f t="shared" si="1"/>
        <v>187000.00000000003</v>
      </c>
      <c r="H6" s="64">
        <f t="shared" si="2"/>
        <v>205700.00000000006</v>
      </c>
      <c r="I6" s="67">
        <f t="shared" si="2"/>
        <v>226270.00000000009</v>
      </c>
      <c r="J6" s="66">
        <f t="shared" si="3"/>
        <v>452540.00000000017</v>
      </c>
    </row>
    <row r="7" spans="1:10">
      <c r="A7" s="56">
        <v>5</v>
      </c>
      <c r="B7" s="57" t="s">
        <v>187</v>
      </c>
      <c r="C7" s="59">
        <v>2</v>
      </c>
      <c r="D7" s="60">
        <v>170000</v>
      </c>
      <c r="E7" s="60">
        <f t="shared" si="0"/>
        <v>340000</v>
      </c>
      <c r="G7" s="64">
        <f t="shared" si="1"/>
        <v>187000.00000000003</v>
      </c>
      <c r="H7" s="64">
        <f t="shared" si="2"/>
        <v>205700.00000000006</v>
      </c>
      <c r="I7" s="67">
        <f t="shared" si="2"/>
        <v>226270.00000000009</v>
      </c>
      <c r="J7" s="66">
        <f t="shared" si="3"/>
        <v>452540.00000000017</v>
      </c>
    </row>
    <row r="8" spans="1:10">
      <c r="A8" s="56">
        <v>6</v>
      </c>
      <c r="B8" s="57" t="s">
        <v>188</v>
      </c>
      <c r="C8" s="59">
        <v>1</v>
      </c>
      <c r="D8" s="60">
        <v>174000</v>
      </c>
      <c r="E8" s="60">
        <f t="shared" si="0"/>
        <v>174000</v>
      </c>
      <c r="G8" s="64">
        <f t="shared" si="1"/>
        <v>191400.00000000003</v>
      </c>
      <c r="H8" s="64">
        <f t="shared" si="2"/>
        <v>210540.00000000006</v>
      </c>
      <c r="I8" s="67">
        <f t="shared" si="2"/>
        <v>231594.00000000009</v>
      </c>
      <c r="J8" s="66">
        <f t="shared" si="3"/>
        <v>231594.00000000009</v>
      </c>
    </row>
    <row r="9" spans="1:10">
      <c r="A9" s="56">
        <v>7</v>
      </c>
      <c r="B9" s="57" t="s">
        <v>189</v>
      </c>
      <c r="C9" s="59">
        <v>1</v>
      </c>
      <c r="D9" s="60">
        <v>210000</v>
      </c>
      <c r="E9" s="60">
        <f t="shared" si="0"/>
        <v>210000</v>
      </c>
      <c r="G9" s="64">
        <f t="shared" si="1"/>
        <v>231000.00000000003</v>
      </c>
      <c r="H9" s="64">
        <f t="shared" si="2"/>
        <v>254100.00000000006</v>
      </c>
      <c r="I9" s="67">
        <f t="shared" si="2"/>
        <v>279510.00000000006</v>
      </c>
      <c r="J9" s="66">
        <f t="shared" si="3"/>
        <v>279510.00000000006</v>
      </c>
    </row>
    <row r="10" spans="1:10">
      <c r="A10" s="56">
        <v>8</v>
      </c>
      <c r="B10" s="57" t="s">
        <v>190</v>
      </c>
      <c r="C10" s="59">
        <v>1</v>
      </c>
      <c r="D10" s="60">
        <v>170000</v>
      </c>
      <c r="E10" s="60">
        <f t="shared" si="0"/>
        <v>170000</v>
      </c>
      <c r="G10" s="64">
        <f t="shared" si="1"/>
        <v>187000.00000000003</v>
      </c>
      <c r="H10" s="64">
        <f t="shared" si="2"/>
        <v>205700.00000000006</v>
      </c>
      <c r="I10" s="67">
        <f t="shared" si="2"/>
        <v>226270.00000000009</v>
      </c>
      <c r="J10" s="66">
        <f t="shared" si="3"/>
        <v>226270.00000000009</v>
      </c>
    </row>
    <row r="11" spans="1:10">
      <c r="A11" s="56">
        <v>9</v>
      </c>
      <c r="B11" s="57" t="s">
        <v>191</v>
      </c>
      <c r="C11" s="59">
        <v>2</v>
      </c>
      <c r="D11" s="60">
        <v>170000</v>
      </c>
      <c r="E11" s="60">
        <f t="shared" si="0"/>
        <v>340000</v>
      </c>
      <c r="G11" s="64">
        <f t="shared" si="1"/>
        <v>187000.00000000003</v>
      </c>
      <c r="H11" s="64">
        <f t="shared" si="2"/>
        <v>205700.00000000006</v>
      </c>
      <c r="I11" s="67">
        <f t="shared" si="2"/>
        <v>226270.00000000009</v>
      </c>
      <c r="J11" s="66">
        <f t="shared" si="3"/>
        <v>452540.00000000017</v>
      </c>
    </row>
    <row r="12" spans="1:10">
      <c r="A12" s="56">
        <v>10</v>
      </c>
      <c r="B12" s="57" t="s">
        <v>192</v>
      </c>
      <c r="C12" s="59">
        <v>1</v>
      </c>
      <c r="D12" s="60">
        <v>180000</v>
      </c>
      <c r="E12" s="60">
        <f t="shared" si="0"/>
        <v>180000</v>
      </c>
      <c r="G12" s="64">
        <f t="shared" si="1"/>
        <v>198000.00000000003</v>
      </c>
      <c r="H12" s="64">
        <f t="shared" si="2"/>
        <v>217800.00000000006</v>
      </c>
      <c r="I12" s="67">
        <f t="shared" si="2"/>
        <v>239580.00000000009</v>
      </c>
      <c r="J12" s="66">
        <f t="shared" si="3"/>
        <v>239580.00000000009</v>
      </c>
    </row>
    <row r="13" spans="1:10">
      <c r="A13" s="56">
        <v>12</v>
      </c>
      <c r="B13" s="57" t="s">
        <v>193</v>
      </c>
      <c r="C13" s="59">
        <v>1</v>
      </c>
      <c r="D13" s="60">
        <v>170000</v>
      </c>
      <c r="E13" s="60">
        <f t="shared" si="0"/>
        <v>170000</v>
      </c>
      <c r="G13" s="64">
        <f t="shared" si="1"/>
        <v>187000.00000000003</v>
      </c>
      <c r="H13" s="64">
        <f t="shared" si="2"/>
        <v>205700.00000000006</v>
      </c>
      <c r="I13" s="67">
        <f t="shared" si="2"/>
        <v>226270.00000000009</v>
      </c>
      <c r="J13" s="66">
        <f t="shared" si="3"/>
        <v>226270.00000000009</v>
      </c>
    </row>
    <row r="14" spans="1:10">
      <c r="A14" s="56">
        <v>14</v>
      </c>
      <c r="B14" s="57" t="s">
        <v>194</v>
      </c>
      <c r="C14" s="59">
        <v>1</v>
      </c>
      <c r="D14" s="60">
        <v>174000</v>
      </c>
      <c r="E14" s="60">
        <f t="shared" si="0"/>
        <v>174000</v>
      </c>
      <c r="G14" s="64">
        <f t="shared" si="1"/>
        <v>191400.00000000003</v>
      </c>
      <c r="H14" s="64">
        <f t="shared" si="2"/>
        <v>210540.00000000006</v>
      </c>
      <c r="I14" s="67">
        <f t="shared" si="2"/>
        <v>231594.00000000009</v>
      </c>
      <c r="J14" s="66">
        <f t="shared" si="3"/>
        <v>231594.00000000009</v>
      </c>
    </row>
    <row r="15" spans="1:10">
      <c r="A15" s="56">
        <v>15</v>
      </c>
      <c r="B15" s="57" t="s">
        <v>195</v>
      </c>
      <c r="C15" s="59">
        <v>1</v>
      </c>
      <c r="D15" s="60">
        <v>190000</v>
      </c>
      <c r="E15" s="60">
        <f t="shared" si="0"/>
        <v>190000</v>
      </c>
      <c r="G15" s="64">
        <f t="shared" si="1"/>
        <v>209000.00000000003</v>
      </c>
      <c r="H15" s="64">
        <f t="shared" si="2"/>
        <v>229900.00000000006</v>
      </c>
      <c r="I15" s="67">
        <f t="shared" si="2"/>
        <v>252890.00000000009</v>
      </c>
      <c r="J15" s="66">
        <f t="shared" si="3"/>
        <v>252890.00000000009</v>
      </c>
    </row>
    <row r="16" spans="1:10">
      <c r="A16" s="56">
        <v>17</v>
      </c>
      <c r="B16" s="57" t="s">
        <v>196</v>
      </c>
      <c r="C16" s="62">
        <v>1</v>
      </c>
      <c r="D16" s="60">
        <v>174000</v>
      </c>
      <c r="E16" s="60">
        <f t="shared" si="0"/>
        <v>174000</v>
      </c>
      <c r="G16" s="64">
        <f t="shared" si="1"/>
        <v>191400.00000000003</v>
      </c>
      <c r="H16" s="64">
        <f t="shared" si="2"/>
        <v>210540.00000000006</v>
      </c>
      <c r="I16" s="67">
        <f t="shared" si="2"/>
        <v>231594.00000000009</v>
      </c>
      <c r="J16" s="68">
        <f t="shared" si="3"/>
        <v>231594.00000000009</v>
      </c>
    </row>
    <row r="17" spans="2:10">
      <c r="C17" s="63">
        <f>SUM(C3:C16)</f>
        <v>19</v>
      </c>
      <c r="E17" s="69">
        <f>SUM(E3:E16)</f>
        <v>3426000</v>
      </c>
      <c r="J17" s="69">
        <f>SUM(J3:J16)</f>
        <v>4560006.0000000009</v>
      </c>
    </row>
    <row r="19" spans="2:10">
      <c r="D19" s="61" t="s">
        <v>174</v>
      </c>
      <c r="E19" s="69">
        <f>E17/C17</f>
        <v>180315.78947368421</v>
      </c>
      <c r="J19" s="69">
        <f>J17/C17</f>
        <v>240000.31578947374</v>
      </c>
    </row>
    <row r="21" spans="2:10">
      <c r="B21" t="s">
        <v>197</v>
      </c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C6631-6095-486D-A937-20F4C42C9AC0}">
  <dimension ref="A1:C63"/>
  <sheetViews>
    <sheetView workbookViewId="0">
      <selection activeCell="A2" sqref="A2"/>
    </sheetView>
  </sheetViews>
  <sheetFormatPr defaultRowHeight="15"/>
  <cols>
    <col min="1" max="1" width="24.7109375" bestFit="1" customWidth="1"/>
    <col min="2" max="2" width="18.28515625" bestFit="1" customWidth="1"/>
  </cols>
  <sheetData>
    <row r="1" spans="1:3">
      <c r="A1" t="s">
        <v>198</v>
      </c>
      <c r="B1" t="s">
        <v>199</v>
      </c>
      <c r="C1" t="s">
        <v>200</v>
      </c>
    </row>
    <row r="2" spans="1:3">
      <c r="A2" s="79" t="s">
        <v>91</v>
      </c>
      <c r="B2" s="22" t="s">
        <v>91</v>
      </c>
      <c r="C2" t="str">
        <f>IF(COUNTIF($A:$A,B2)=0,"New Added","Existing")</f>
        <v>Existing</v>
      </c>
    </row>
    <row r="3" spans="1:3" ht="30.75">
      <c r="A3" s="80" t="s">
        <v>92</v>
      </c>
      <c r="B3" s="33" t="s">
        <v>92</v>
      </c>
      <c r="C3" t="str">
        <f>IF(COUNTIF($A:$A,B3)=0,"New Added","Existing")</f>
        <v>Existing</v>
      </c>
    </row>
    <row r="4" spans="1:3" ht="45.75">
      <c r="A4" s="81" t="s">
        <v>201</v>
      </c>
      <c r="B4" s="23" t="s">
        <v>93</v>
      </c>
      <c r="C4" t="str">
        <f>IF(COUNTIF($A:$A,B4)=0,"New Added","Existing")</f>
        <v>New Added</v>
      </c>
    </row>
    <row r="5" spans="1:3" ht="30.75">
      <c r="A5" s="80" t="s">
        <v>94</v>
      </c>
      <c r="B5" s="33" t="s">
        <v>94</v>
      </c>
      <c r="C5" t="str">
        <f>IF(COUNTIF($A:$A,B5)=0,"New Added","Existing")</f>
        <v>Existing</v>
      </c>
    </row>
    <row r="6" spans="1:3" ht="30.75">
      <c r="A6" s="79" t="s">
        <v>95</v>
      </c>
      <c r="B6" s="22" t="s">
        <v>95</v>
      </c>
      <c r="C6" t="str">
        <f>IF(COUNTIF($A:$A,B6)=0,"New Added","Existing")</f>
        <v>Existing</v>
      </c>
    </row>
    <row r="7" spans="1:3" ht="30.75">
      <c r="A7" s="79" t="s">
        <v>96</v>
      </c>
      <c r="B7" s="22" t="s">
        <v>96</v>
      </c>
      <c r="C7" t="str">
        <f>IF(COUNTIF($A:$A,B7)=0,"New Added","Existing")</f>
        <v>Existing</v>
      </c>
    </row>
    <row r="8" spans="1:3" ht="45.75">
      <c r="A8" s="79" t="s">
        <v>97</v>
      </c>
      <c r="B8" s="22" t="s">
        <v>97</v>
      </c>
      <c r="C8" t="str">
        <f>IF(COUNTIF($A:$A,B8)=0,"New Added","Existing")</f>
        <v>Existing</v>
      </c>
    </row>
    <row r="9" spans="1:3" ht="60.75">
      <c r="A9" s="79" t="s">
        <v>98</v>
      </c>
      <c r="B9" s="22" t="s">
        <v>98</v>
      </c>
      <c r="C9" t="str">
        <f>IF(COUNTIF($A:$A,B9)=0,"New Added","Existing")</f>
        <v>Existing</v>
      </c>
    </row>
    <row r="10" spans="1:3" ht="30.75">
      <c r="A10" s="79" t="s">
        <v>100</v>
      </c>
      <c r="B10" s="22" t="s">
        <v>100</v>
      </c>
      <c r="C10" t="str">
        <f>IF(COUNTIF($A:$A,B10)=0,"New Added","Existing")</f>
        <v>Existing</v>
      </c>
    </row>
    <row r="11" spans="1:3" ht="30.75">
      <c r="A11" s="79" t="s">
        <v>101</v>
      </c>
      <c r="B11" s="22" t="s">
        <v>101</v>
      </c>
      <c r="C11" t="str">
        <f>IF(COUNTIF($A:$A,B11)=0,"New Added","Existing")</f>
        <v>Existing</v>
      </c>
    </row>
    <row r="12" spans="1:3" ht="30.75">
      <c r="A12" s="79" t="s">
        <v>102</v>
      </c>
      <c r="B12" s="22" t="s">
        <v>102</v>
      </c>
      <c r="C12" t="str">
        <f>IF(COUNTIF($A:$A,B12)=0,"New Added","Existing")</f>
        <v>Existing</v>
      </c>
    </row>
    <row r="13" spans="1:3" ht="30.75">
      <c r="A13" s="79" t="s">
        <v>103</v>
      </c>
      <c r="B13" s="22" t="s">
        <v>103</v>
      </c>
      <c r="C13" t="str">
        <f>IF(COUNTIF($A:$A,B13)=0,"New Added","Existing")</f>
        <v>Existing</v>
      </c>
    </row>
    <row r="14" spans="1:3" ht="45.75">
      <c r="A14" s="80" t="s">
        <v>104</v>
      </c>
      <c r="B14" s="31" t="s">
        <v>104</v>
      </c>
      <c r="C14" t="str">
        <f>IF(COUNTIF($A:$A,B14)=0,"New Added","Existing")</f>
        <v>Existing</v>
      </c>
    </row>
    <row r="15" spans="1:3" ht="30.75">
      <c r="A15" s="79" t="s">
        <v>105</v>
      </c>
      <c r="B15" s="23" t="s">
        <v>105</v>
      </c>
      <c r="C15" t="str">
        <f>IF(COUNTIF($A:$A,B15)=0,"New Added","Existing")</f>
        <v>Existing</v>
      </c>
    </row>
    <row r="16" spans="1:3" ht="30.75">
      <c r="A16" s="79" t="s">
        <v>106</v>
      </c>
      <c r="B16" s="23" t="s">
        <v>106</v>
      </c>
      <c r="C16" t="str">
        <f>IF(COUNTIF($A:$A,B16)=0,"New Added","Existing")</f>
        <v>Existing</v>
      </c>
    </row>
    <row r="17" spans="1:3" ht="30.75">
      <c r="A17" s="79" t="s">
        <v>107</v>
      </c>
      <c r="B17" s="23" t="s">
        <v>107</v>
      </c>
      <c r="C17" t="str">
        <f>IF(COUNTIF($A:$A,B17)=0,"New Added","Existing")</f>
        <v>Existing</v>
      </c>
    </row>
    <row r="18" spans="1:3" ht="30.75">
      <c r="A18" s="79" t="s">
        <v>108</v>
      </c>
      <c r="B18" s="23" t="s">
        <v>108</v>
      </c>
      <c r="C18" t="str">
        <f>IF(COUNTIF($A:$A,B18)=0,"New Added","Existing")</f>
        <v>Existing</v>
      </c>
    </row>
    <row r="19" spans="1:3" ht="30.75">
      <c r="A19" s="79" t="s">
        <v>109</v>
      </c>
      <c r="B19" s="23" t="s">
        <v>109</v>
      </c>
      <c r="C19" t="str">
        <f>IF(COUNTIF($A:$A,B19)=0,"New Added","Existing")</f>
        <v>Existing</v>
      </c>
    </row>
    <row r="20" spans="1:3" ht="45.75">
      <c r="A20" s="79" t="s">
        <v>110</v>
      </c>
      <c r="B20" s="23" t="s">
        <v>202</v>
      </c>
      <c r="C20" t="str">
        <f>IF(COUNTIF($A:$A,B20)=0,"New Added","Existing")</f>
        <v>New Added</v>
      </c>
    </row>
    <row r="21" spans="1:3" ht="30.75">
      <c r="A21" s="79" t="s">
        <v>111</v>
      </c>
      <c r="B21" s="23" t="s">
        <v>111</v>
      </c>
      <c r="C21" t="str">
        <f>IF(COUNTIF($A:$A,B21)=0,"New Added","Existing")</f>
        <v>Existing</v>
      </c>
    </row>
    <row r="22" spans="1:3" ht="30.75">
      <c r="A22" s="79" t="s">
        <v>112</v>
      </c>
      <c r="B22" s="23" t="s">
        <v>112</v>
      </c>
      <c r="C22" t="str">
        <f>IF(COUNTIF($A:$A,B22)=0,"New Added","Existing")</f>
        <v>Existing</v>
      </c>
    </row>
    <row r="23" spans="1:3" ht="45.75">
      <c r="A23" s="79" t="s">
        <v>203</v>
      </c>
      <c r="B23" s="23" t="s">
        <v>113</v>
      </c>
      <c r="C23" t="str">
        <f>IF(COUNTIF($A:$A,B23)=0,"New Added","Existing")</f>
        <v>New Added</v>
      </c>
    </row>
    <row r="24" spans="1:3" ht="30.75">
      <c r="A24" s="79" t="s">
        <v>114</v>
      </c>
      <c r="B24" s="23" t="s">
        <v>114</v>
      </c>
      <c r="C24" t="str">
        <f>IF(COUNTIF($A:$A,B24)=0,"New Added","Existing")</f>
        <v>Existing</v>
      </c>
    </row>
    <row r="25" spans="1:3" ht="45.75">
      <c r="A25" s="80" t="s">
        <v>120</v>
      </c>
      <c r="B25" s="23" t="s">
        <v>115</v>
      </c>
      <c r="C25" t="str">
        <f>IF(COUNTIF($A:$A,B25)=0,"New Added","Existing")</f>
        <v>New Added</v>
      </c>
    </row>
    <row r="26" spans="1:3" ht="30.75">
      <c r="A26" s="79" t="s">
        <v>121</v>
      </c>
      <c r="B26" s="23" t="s">
        <v>116</v>
      </c>
      <c r="C26" t="str">
        <f>IF(COUNTIF($A:$A,B26)=0,"New Added","Existing")</f>
        <v>New Added</v>
      </c>
    </row>
    <row r="27" spans="1:3" ht="30.75">
      <c r="A27" s="79" t="s">
        <v>122</v>
      </c>
      <c r="B27" s="23" t="s">
        <v>117</v>
      </c>
      <c r="C27" t="str">
        <f>IF(COUNTIF($A:$A,B27)=0,"New Added","Existing")</f>
        <v>New Added</v>
      </c>
    </row>
    <row r="28" spans="1:3" ht="30.75">
      <c r="A28" s="80" t="s">
        <v>129</v>
      </c>
      <c r="B28" s="23" t="s">
        <v>118</v>
      </c>
      <c r="C28" t="str">
        <f>IF(COUNTIF($A:$A,B28)=0,"New Added","Existing")</f>
        <v>New Added</v>
      </c>
    </row>
    <row r="29" spans="1:3">
      <c r="A29" s="79" t="s">
        <v>130</v>
      </c>
      <c r="B29" s="23" t="s">
        <v>119</v>
      </c>
      <c r="C29" t="str">
        <f>IF(COUNTIF($A:$A,B29)=0,"New Added","Existing")</f>
        <v>New Added</v>
      </c>
    </row>
    <row r="30" spans="1:3">
      <c r="A30" s="79" t="s">
        <v>131</v>
      </c>
      <c r="B30" s="34" t="s">
        <v>120</v>
      </c>
      <c r="C30" t="str">
        <f>IF(COUNTIF($A:$A,B30)=0,"New Added","Existing")</f>
        <v>Existing</v>
      </c>
    </row>
    <row r="31" spans="1:3">
      <c r="A31" s="79" t="s">
        <v>132</v>
      </c>
      <c r="B31" s="54" t="s">
        <v>121</v>
      </c>
      <c r="C31" t="str">
        <f>IF(COUNTIF($A:$A,B31)=0,"New Added","Existing")</f>
        <v>Existing</v>
      </c>
    </row>
    <row r="32" spans="1:3">
      <c r="A32" s="79" t="s">
        <v>133</v>
      </c>
      <c r="B32" s="54" t="s">
        <v>122</v>
      </c>
      <c r="C32" t="str">
        <f>IF(COUNTIF($A:$A,B32)=0,"New Added","Existing")</f>
        <v>Existing</v>
      </c>
    </row>
    <row r="33" spans="1:3">
      <c r="A33" s="79" t="s">
        <v>134</v>
      </c>
      <c r="B33" s="54" t="s">
        <v>123</v>
      </c>
      <c r="C33" t="str">
        <f>IF(COUNTIF($A:$A,B33)=0,"New Added","Existing")</f>
        <v>New Added</v>
      </c>
    </row>
    <row r="34" spans="1:3" ht="45.75">
      <c r="A34" s="79" t="s">
        <v>136</v>
      </c>
      <c r="B34" s="23" t="s">
        <v>124</v>
      </c>
      <c r="C34" t="str">
        <f>IF(COUNTIF($A:$A,B34)=0,"New Added","Existing")</f>
        <v>New Added</v>
      </c>
    </row>
    <row r="35" spans="1:3" ht="45.75">
      <c r="A35" s="79" t="s">
        <v>137</v>
      </c>
      <c r="B35" s="22" t="s">
        <v>125</v>
      </c>
      <c r="C35" t="str">
        <f>IF(COUNTIF($A:$A,B35)=0,"New Added","Existing")</f>
        <v>New Added</v>
      </c>
    </row>
    <row r="36" spans="1:3" ht="30.75">
      <c r="A36" s="79" t="s">
        <v>138</v>
      </c>
      <c r="B36" s="22" t="s">
        <v>126</v>
      </c>
      <c r="C36" t="str">
        <f>IF(COUNTIF($A:$A,B36)=0,"New Added","Existing")</f>
        <v>New Added</v>
      </c>
    </row>
    <row r="37" spans="1:3" ht="30.75">
      <c r="A37" s="79" t="s">
        <v>139</v>
      </c>
      <c r="B37" s="22" t="s">
        <v>127</v>
      </c>
      <c r="C37" t="str">
        <f>IF(COUNTIF($A:$A,B37)=0,"New Added","Existing")</f>
        <v>New Added</v>
      </c>
    </row>
    <row r="38" spans="1:3" ht="45.75">
      <c r="A38" s="79" t="s">
        <v>140</v>
      </c>
      <c r="B38" s="33" t="s">
        <v>129</v>
      </c>
      <c r="C38" t="str">
        <f>IF(COUNTIF($A:$A,B38)=0,"New Added","Existing")</f>
        <v>Existing</v>
      </c>
    </row>
    <row r="39" spans="1:3" ht="30.75">
      <c r="A39" s="79" t="s">
        <v>141</v>
      </c>
      <c r="B39" s="22" t="s">
        <v>130</v>
      </c>
      <c r="C39" t="str">
        <f>IF(COUNTIF($A:$A,B39)=0,"New Added","Existing")</f>
        <v>Existing</v>
      </c>
    </row>
    <row r="40" spans="1:3" ht="45.75">
      <c r="A40" s="79" t="s">
        <v>142</v>
      </c>
      <c r="B40" s="22" t="s">
        <v>131</v>
      </c>
      <c r="C40" t="str">
        <f>IF(COUNTIF($A:$A,B40)=0,"New Added","Existing")</f>
        <v>Existing</v>
      </c>
    </row>
    <row r="41" spans="1:3" ht="30.75">
      <c r="A41" s="79" t="s">
        <v>143</v>
      </c>
      <c r="B41" s="22" t="s">
        <v>132</v>
      </c>
      <c r="C41" t="str">
        <f>IF(COUNTIF($A:$A,B41)=0,"New Added","Existing")</f>
        <v>Existing</v>
      </c>
    </row>
    <row r="42" spans="1:3" ht="30.75">
      <c r="A42" s="79" t="s">
        <v>144</v>
      </c>
      <c r="B42" s="22" t="s">
        <v>133</v>
      </c>
      <c r="C42" t="str">
        <f>IF(COUNTIF($A:$A,B42)=0,"New Added","Existing")</f>
        <v>Existing</v>
      </c>
    </row>
    <row r="43" spans="1:3">
      <c r="A43" s="79" t="s">
        <v>145</v>
      </c>
      <c r="B43" s="35" t="s">
        <v>134</v>
      </c>
      <c r="C43" t="str">
        <f>IF(COUNTIF($A:$A,B43)=0,"New Added","Existing")</f>
        <v>Existing</v>
      </c>
    </row>
    <row r="44" spans="1:3" ht="30.75">
      <c r="A44" s="79" t="s">
        <v>146</v>
      </c>
      <c r="B44" s="22" t="s">
        <v>136</v>
      </c>
      <c r="C44" t="str">
        <f>IF(COUNTIF($A:$A,B44)=0,"New Added","Existing")</f>
        <v>Existing</v>
      </c>
    </row>
    <row r="45" spans="1:3" ht="30.75">
      <c r="A45" s="79" t="s">
        <v>147</v>
      </c>
      <c r="B45" s="22" t="s">
        <v>137</v>
      </c>
      <c r="C45" t="str">
        <f>IF(COUNTIF($A:$A,B45)=0,"New Added","Existing")</f>
        <v>Existing</v>
      </c>
    </row>
    <row r="46" spans="1:3" ht="30.75">
      <c r="A46" s="79" t="s">
        <v>148</v>
      </c>
      <c r="B46" s="22" t="s">
        <v>138</v>
      </c>
      <c r="C46" t="str">
        <f>IF(COUNTIF($A:$A,B46)=0,"New Added","Existing")</f>
        <v>Existing</v>
      </c>
    </row>
    <row r="47" spans="1:3" ht="60.75">
      <c r="A47" s="79" t="s">
        <v>150</v>
      </c>
      <c r="B47" s="22" t="s">
        <v>139</v>
      </c>
      <c r="C47" t="str">
        <f>IF(COUNTIF($A:$A,B47)=0,"New Added","Existing")</f>
        <v>Existing</v>
      </c>
    </row>
    <row r="48" spans="1:3" ht="30.75">
      <c r="A48" s="79" t="s">
        <v>151</v>
      </c>
      <c r="B48" s="22" t="s">
        <v>140</v>
      </c>
      <c r="C48" t="str">
        <f>IF(COUNTIF($A:$A,B48)=0,"New Added","Existing")</f>
        <v>Existing</v>
      </c>
    </row>
    <row r="49" spans="1:3">
      <c r="A49" s="79" t="s">
        <v>152</v>
      </c>
      <c r="B49" s="19" t="s">
        <v>141</v>
      </c>
      <c r="C49" t="str">
        <f>IF(COUNTIF($A:$A,B49)=0,"New Added","Existing")</f>
        <v>Existing</v>
      </c>
    </row>
    <row r="50" spans="1:3">
      <c r="A50" s="79" t="s">
        <v>153</v>
      </c>
      <c r="B50" s="19" t="s">
        <v>142</v>
      </c>
      <c r="C50" t="str">
        <f>IF(COUNTIF($A:$A,B50)=0,"New Added","Existing")</f>
        <v>Existing</v>
      </c>
    </row>
    <row r="51" spans="1:3">
      <c r="A51" s="79" t="s">
        <v>154</v>
      </c>
      <c r="B51" s="19" t="s">
        <v>143</v>
      </c>
      <c r="C51" t="str">
        <f>IF(COUNTIF($A:$A,B51)=0,"New Added","Existing")</f>
        <v>Existing</v>
      </c>
    </row>
    <row r="52" spans="1:3">
      <c r="B52" s="35" t="s">
        <v>144</v>
      </c>
      <c r="C52" t="str">
        <f>IF(COUNTIF($A:$A,B52)=0,"New Added","Existing")</f>
        <v>Existing</v>
      </c>
    </row>
    <row r="53" spans="1:3" ht="30.75">
      <c r="B53" s="22" t="s">
        <v>145</v>
      </c>
      <c r="C53" t="str">
        <f>IF(COUNTIF($A:$A,B53)=0,"New Added","Existing")</f>
        <v>Existing</v>
      </c>
    </row>
    <row r="54" spans="1:3" ht="30.75">
      <c r="B54" s="22" t="s">
        <v>146</v>
      </c>
      <c r="C54" t="str">
        <f>IF(COUNTIF($A:$A,B54)=0,"New Added","Existing")</f>
        <v>Existing</v>
      </c>
    </row>
    <row r="55" spans="1:3" ht="45.75">
      <c r="B55" s="22" t="s">
        <v>147</v>
      </c>
      <c r="C55" t="str">
        <f>IF(COUNTIF($A:$A,B55)=0,"New Added","Existing")</f>
        <v>Existing</v>
      </c>
    </row>
    <row r="56" spans="1:3">
      <c r="B56" s="19" t="s">
        <v>148</v>
      </c>
      <c r="C56" t="str">
        <f>IF(COUNTIF($A:$A,B56)=0,"New Added","Existing")</f>
        <v>Existing</v>
      </c>
    </row>
    <row r="57" spans="1:3">
      <c r="B57" s="42" t="s">
        <v>149</v>
      </c>
      <c r="C57" t="str">
        <f>IF(COUNTIF($A:$A,B57)=0,"New Added","Existing")</f>
        <v>New Added</v>
      </c>
    </row>
    <row r="58" spans="1:3">
      <c r="B58" s="42" t="s">
        <v>150</v>
      </c>
      <c r="C58" t="str">
        <f>IF(COUNTIF($A:$A,B58)=0,"New Added","Existing")</f>
        <v>Existing</v>
      </c>
    </row>
    <row r="59" spans="1:3">
      <c r="B59" s="42" t="s">
        <v>151</v>
      </c>
      <c r="C59" t="str">
        <f>IF(COUNTIF($A:$A,B59)=0,"New Added","Existing")</f>
        <v>Existing</v>
      </c>
    </row>
    <row r="60" spans="1:3" ht="30.75">
      <c r="B60" s="22" t="s">
        <v>152</v>
      </c>
      <c r="C60" t="str">
        <f>IF(COUNTIF($A:$A,B60)=0,"New Added","Existing")</f>
        <v>Existing</v>
      </c>
    </row>
    <row r="61" spans="1:3" ht="30.75">
      <c r="B61" s="40" t="s">
        <v>153</v>
      </c>
      <c r="C61" t="str">
        <f>IF(COUNTIF($A:$A,B61)=0,"New Added","Existing")</f>
        <v>Existing</v>
      </c>
    </row>
    <row r="62" spans="1:3">
      <c r="B62" s="74" t="s">
        <v>154</v>
      </c>
      <c r="C62" t="str">
        <f>IF(COUNTIF($A:$A,B62)=0,"New Added","Existing")</f>
        <v>Existing</v>
      </c>
    </row>
    <row r="63" spans="1:3">
      <c r="B63" s="41" t="s">
        <v>155</v>
      </c>
      <c r="C63" t="str">
        <f>IF(COUNTIF($A:$A,B63)=0,"New Added","Existing")</f>
        <v>New Added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284e2e-25af-4b23-bd76-46cfcd84063e">
      <Terms xmlns="http://schemas.microsoft.com/office/infopath/2007/PartnerControls"/>
    </lcf76f155ced4ddcb4097134ff3c332f>
    <TaxCatchAll xmlns="fc4e7f2c-5706-4f46-951e-8e01c624aeb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6E339FF81C034DBA9F13CC6CE85CBC" ma:contentTypeVersion="16" ma:contentTypeDescription="Create a new document." ma:contentTypeScope="" ma:versionID="5524322bf3d7025ef7a318bb56399cd5">
  <xsd:schema xmlns:xsd="http://www.w3.org/2001/XMLSchema" xmlns:xs="http://www.w3.org/2001/XMLSchema" xmlns:p="http://schemas.microsoft.com/office/2006/metadata/properties" xmlns:ns2="a7284e2e-25af-4b23-bd76-46cfcd84063e" xmlns:ns3="fc4e7f2c-5706-4f46-951e-8e01c624aeb2" targetNamespace="http://schemas.microsoft.com/office/2006/metadata/properties" ma:root="true" ma:fieldsID="9a4d52096402c0bb5346430510903ab0" ns2:_="" ns3:_="">
    <xsd:import namespace="a7284e2e-25af-4b23-bd76-46cfcd84063e"/>
    <xsd:import namespace="fc4e7f2c-5706-4f46-951e-8e01c624a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284e2e-25af-4b23-bd76-46cfcd8406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b2a6239-36ed-4ed1-a895-3ca8a7215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e7f2c-5706-4f46-951e-8e01c624aeb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c4ac13-b47f-4ea4-9935-6b924e5a884c}" ma:internalName="TaxCatchAll" ma:showField="CatchAllData" ma:web="fc4e7f2c-5706-4f46-951e-8e01c624ae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7F29FD-64B8-4EE4-A1FA-EE6936068A37}"/>
</file>

<file path=customXml/itemProps2.xml><?xml version="1.0" encoding="utf-8"?>
<ds:datastoreItem xmlns:ds="http://schemas.openxmlformats.org/officeDocument/2006/customXml" ds:itemID="{61DB0463-ECF4-491B-8FFF-656E5ABDC2CF}"/>
</file>

<file path=customXml/itemProps3.xml><?xml version="1.0" encoding="utf-8"?>
<ds:datastoreItem xmlns:ds="http://schemas.openxmlformats.org/officeDocument/2006/customXml" ds:itemID="{5E634ECC-32EB-4C54-81D2-ED67C9DD1B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2026-05-27T13:14:35Z</dcterms:created>
  <dcterms:modified xsi:type="dcterms:W3CDTF">2026-06-09T06:09:05Z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0x010100C46E339FF81C034DBA9F13CC6CE85CBC</vt:lpwstr>
  </property>
  <property fmtid="{D5CDD505-2E9C-101B-9397-08002B2CF9AE}" pid="3" name="MediaServiceImageTags">
    <vt:lpwstr/>
  </property>
</Properties>
</file>